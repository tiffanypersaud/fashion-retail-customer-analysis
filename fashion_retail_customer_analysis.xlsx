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/Desktop/"/>
    </mc:Choice>
  </mc:AlternateContent>
  <xr:revisionPtr revIDLastSave="0" documentId="13_ncr:9_{1A6A37D8-74EB-AB42-A6BF-9F76E20214FA}" xr6:coauthVersionLast="47" xr6:coauthVersionMax="47" xr10:uidLastSave="{00000000-0000-0000-0000-000000000000}"/>
  <bookViews>
    <workbookView xWindow="1700" yWindow="1680" windowWidth="28040" windowHeight="17180" xr2:uid="{38889E05-8726-7A46-B09A-D62021DF3BEF}"/>
  </bookViews>
  <sheets>
    <sheet name="Executive Sheet" sheetId="14" r:id="rId1"/>
    <sheet name="fashion_retail_customers" sheetId="1" r:id="rId2"/>
    <sheet name="Membership Analysis" sheetId="2" r:id="rId3"/>
    <sheet name="Customer Frequency Analysis" sheetId="3" r:id="rId4"/>
    <sheet name="Category Performance" sheetId="4" r:id="rId5"/>
    <sheet name="Category Behavior Analysis" sheetId="5" r:id="rId6"/>
    <sheet name="Discount Behavior" sheetId="6" r:id="rId7"/>
    <sheet name="Discount Impact Analysis" sheetId="7" r:id="rId8"/>
    <sheet name="Revenue by Membership" sheetId="9" r:id="rId9"/>
    <sheet name="Spend by Purchase Frequency" sheetId="10" r:id="rId10"/>
    <sheet name="Revenue by Category" sheetId="11" r:id="rId11"/>
    <sheet name="Customer Spend Segmentation" sheetId="12" r:id="rId12"/>
  </sheets>
  <calcPr calcId="191029"/>
  <pivotCaches>
    <pivotCache cacheId="1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B4" i="14"/>
</calcChain>
</file>

<file path=xl/sharedStrings.xml><?xml version="1.0" encoding="utf-8"?>
<sst xmlns="http://schemas.openxmlformats.org/spreadsheetml/2006/main" count="2101" uniqueCount="48">
  <si>
    <t>customer_id</t>
  </si>
  <si>
    <t>age</t>
  </si>
  <si>
    <t>gender</t>
  </si>
  <si>
    <t>location</t>
  </si>
  <si>
    <t>preferred_category</t>
  </si>
  <si>
    <t>purchase_frequency</t>
  </si>
  <si>
    <t>total_orders</t>
  </si>
  <si>
    <t>total_spent</t>
  </si>
  <si>
    <t>avg_order_value</t>
  </si>
  <si>
    <t>last_purchase_days_ago</t>
  </si>
  <si>
    <t>discount_usage_rate</t>
  </si>
  <si>
    <t>return_rate</t>
  </si>
  <si>
    <t>membership_status</t>
  </si>
  <si>
    <t>Female</t>
  </si>
  <si>
    <t>Texas</t>
  </si>
  <si>
    <t>Fragrance</t>
  </si>
  <si>
    <t>High</t>
  </si>
  <si>
    <t>Member</t>
  </si>
  <si>
    <t>Male</t>
  </si>
  <si>
    <t>California</t>
  </si>
  <si>
    <t>Medium</t>
  </si>
  <si>
    <t>Haircare</t>
  </si>
  <si>
    <t>Low</t>
  </si>
  <si>
    <t>Florida</t>
  </si>
  <si>
    <t>Makeup</t>
  </si>
  <si>
    <t>Non-Member</t>
  </si>
  <si>
    <t>New York</t>
  </si>
  <si>
    <t>Skincare</t>
  </si>
  <si>
    <t>Row Labels</t>
  </si>
  <si>
    <t>Grand Total</t>
  </si>
  <si>
    <t>Total Revenue</t>
  </si>
  <si>
    <t>Avg Customer Spend</t>
  </si>
  <si>
    <t>Column Labels</t>
  </si>
  <si>
    <t>Discount Usage Rate</t>
  </si>
  <si>
    <t xml:space="preserve">Avg Discount Usage Rate </t>
  </si>
  <si>
    <t>Customer Purchase Behavior Analysis</t>
  </si>
  <si>
    <t>Average Customer Spend</t>
  </si>
  <si>
    <t>Members</t>
  </si>
  <si>
    <t>• Members generated more total revenue than non-members, suggesting membership status is strongly associated with customer value.</t>
  </si>
  <si>
    <t>• Medium-frequency customers demonstrated the highest average spend, indicating an optimal engagement level for maximizing revenue per customer.</t>
  </si>
  <si>
    <t>• Fragrance emerged as the top revenue category, though category revenues remained relatively balanced across segments.</t>
  </si>
  <si>
    <t>• Discount usage rates were consistent across customer segments, with slightly higher usage among low-frequency shoppers.</t>
  </si>
  <si>
    <t>• Customer spending patterns suggest that frequency alone does not determine customer value, highlighting opportunities for targeted engagement strategies.</t>
  </si>
  <si>
    <t>Medium-Frequency Customers</t>
  </si>
  <si>
    <t>Top Performing Category</t>
  </si>
  <si>
    <t>Highest Value Customer Segment</t>
  </si>
  <si>
    <t>Primary Revenue Driver</t>
  </si>
  <si>
    <t>Business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</si>
</sst>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0.0%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 (Body)"/>
    </font>
    <font>
      <b/>
      <sz val="18"/>
      <color theme="2" tint="-0.749992370372631"/>
      <name val="Aptos Narrow"/>
      <scheme val="minor"/>
    </font>
    <font>
      <sz val="14"/>
      <color theme="1" tint="0.3499862666707357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pivotButton="1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166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164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&quot;$&quot;#,##0.0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[fashion_retail_customer_analysis.xlsx]Revenue by Category!preferred_category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Category'!$A$4:$A$8</c:f>
              <c:strCache>
                <c:ptCount val="4"/>
                <c:pt idx="0">
                  <c:v>Fragrance</c:v>
                </c:pt>
                <c:pt idx="1">
                  <c:v>Haircare</c:v>
                </c:pt>
                <c:pt idx="2">
                  <c:v>Makeup</c:v>
                </c:pt>
                <c:pt idx="3">
                  <c:v>Skincare</c:v>
                </c:pt>
              </c:strCache>
            </c:strRef>
          </c:cat>
          <c:val>
            <c:numRef>
              <c:f>'Revenue by Category'!$B$4:$B$8</c:f>
              <c:numCache>
                <c:formatCode>"$"#,##0.00</c:formatCode>
                <c:ptCount val="4"/>
                <c:pt idx="0">
                  <c:v>157531.17999999993</c:v>
                </c:pt>
                <c:pt idx="1">
                  <c:v>148001.59000000003</c:v>
                </c:pt>
                <c:pt idx="2">
                  <c:v>153955.11999999997</c:v>
                </c:pt>
                <c:pt idx="3">
                  <c:v>147713.33999999997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4-414A-AFB3-5E31FDCB05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315494463"/>
        <c:axId val="1315487743"/>
      </c:barChart>
      <c:catAx>
        <c:axId val="131549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87743"/>
        <c:crosses val="autoZero"/>
        <c:auto val="1"/>
        <c:lblAlgn val="ctr"/>
        <c:lblOffset val="100"/>
        <c:noMultiLvlLbl val="0"/>
      </c:catAx>
      <c:valAx>
        <c:axId val="1315487743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[fashion_retail_customer_analysis.xlsx]Spend by Purchase Frequency!Frequency_Spend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Customer Spend by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 by Purchase Frequency'!$B$3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'Spend by Purchase Frequency'!$A$4:$A$7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'Spend by Purchase Frequency'!$B$4:$B$7</c:f>
              <c:numCache>
                <c:formatCode>"$"#,##0.00</c:formatCode>
                <c:ptCount val="3"/>
                <c:pt idx="0">
                  <c:v>1472.5915384615384</c:v>
                </c:pt>
                <c:pt idx="1">
                  <c:v>1413.1067741935485</c:v>
                </c:pt>
                <c:pt idx="2">
                  <c:v>1664.6270676691722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F-D646-8CC2-F2A02E11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77247935"/>
        <c:axId val="1277249727"/>
      </c:barChart>
      <c:catAx>
        <c:axId val="12772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49727"/>
        <c:crosses val="autoZero"/>
        <c:auto val="1"/>
        <c:lblAlgn val="ctr"/>
        <c:lblOffset val="100"/>
        <c:noMultiLvlLbl val="0"/>
      </c:catAx>
      <c:valAx>
        <c:axId val="1277249727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[fashion_retail_customer_analysis.xlsx]Discount Behavior!Average Discount Usage by Frequency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Usage by Purchase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5"/>
            </a:innerShdw>
          </a:effectLst>
        </c:spPr>
        <c:marker>
          <c:symbol val="circle"/>
          <c:size val="6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Behavior'!$B$3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'Discount Behavior'!$A$4:$A$7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'Discount Behavior'!$B$4:$B$7</c:f>
              <c:numCache>
                <c:formatCode>0.0%</c:formatCode>
                <c:ptCount val="3"/>
                <c:pt idx="0">
                  <c:v>0.44125874125874121</c:v>
                </c:pt>
                <c:pt idx="1">
                  <c:v>0.4579032258064516</c:v>
                </c:pt>
                <c:pt idx="2">
                  <c:v>0.45518796992481203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F-A440-8325-9BBEB40D9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78796095"/>
        <c:axId val="1278797887"/>
      </c:barChart>
      <c:catAx>
        <c:axId val="12787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97887"/>
        <c:crosses val="autoZero"/>
        <c:auto val="1"/>
        <c:lblAlgn val="ctr"/>
        <c:lblOffset val="100"/>
        <c:noMultiLvlLbl val="0"/>
      </c:catAx>
      <c:valAx>
        <c:axId val="127879788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[fashion_retail_customer_analysis.xlsx]Discount Behavior!Average Discount Usage by Frequency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Usage</a:t>
            </a:r>
            <a:r>
              <a:rPr lang="en-US" baseline="0"/>
              <a:t> by Purchase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Behavior'!$B$3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Behavior'!$A$4:$A$7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'Discount Behavior'!$B$4:$B$7</c:f>
              <c:numCache>
                <c:formatCode>0.0%</c:formatCode>
                <c:ptCount val="3"/>
                <c:pt idx="0">
                  <c:v>0.44125874125874121</c:v>
                </c:pt>
                <c:pt idx="1">
                  <c:v>0.4579032258064516</c:v>
                </c:pt>
                <c:pt idx="2">
                  <c:v>0.45518796992481203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7F4B-B008-3F11E0B16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796095"/>
        <c:axId val="1278797887"/>
      </c:barChart>
      <c:catAx>
        <c:axId val="127879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97887"/>
        <c:crosses val="autoZero"/>
        <c:auto val="1"/>
        <c:lblAlgn val="ctr"/>
        <c:lblOffset val="100"/>
        <c:noMultiLvlLbl val="0"/>
      </c:catAx>
      <c:valAx>
        <c:axId val="12787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7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[fashion_retail_customer_analysis.xlsx]Spend by Purchase Frequency!Frequency_Spend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Customer Spend</a:t>
            </a:r>
            <a:r>
              <a:rPr lang="en-US" baseline="0"/>
              <a:t> by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 by Purchase Frequency'!$B$3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by Purchase Frequency'!$A$4:$A$7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'Spend by Purchase Frequency'!$B$4:$B$7</c:f>
              <c:numCache>
                <c:formatCode>"$"#,##0.00</c:formatCode>
                <c:ptCount val="3"/>
                <c:pt idx="0">
                  <c:v>1472.5915384615384</c:v>
                </c:pt>
                <c:pt idx="1">
                  <c:v>1413.1067741935485</c:v>
                </c:pt>
                <c:pt idx="2">
                  <c:v>1664.6270676691722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E-5044-A2FD-B701840C0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247935"/>
        <c:axId val="1277249727"/>
      </c:barChart>
      <c:catAx>
        <c:axId val="12772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49727"/>
        <c:crosses val="autoZero"/>
        <c:auto val="1"/>
        <c:lblAlgn val="ctr"/>
        <c:lblOffset val="100"/>
        <c:noMultiLvlLbl val="0"/>
      </c:catAx>
      <c:valAx>
        <c:axId val="12772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[fashion_retail_customer_analysis.xlsx]Revenue by Category!preferred_category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Category'!$A$4:$A$8</c:f>
              <c:strCache>
                <c:ptCount val="4"/>
                <c:pt idx="0">
                  <c:v>Fragrance</c:v>
                </c:pt>
                <c:pt idx="1">
                  <c:v>Haircare</c:v>
                </c:pt>
                <c:pt idx="2">
                  <c:v>Makeup</c:v>
                </c:pt>
                <c:pt idx="3">
                  <c:v>Skincare</c:v>
                </c:pt>
              </c:strCache>
            </c:strRef>
          </c:cat>
          <c:val>
            <c:numRef>
              <c:f>'Revenue by Category'!$B$4:$B$8</c:f>
              <c:numCache>
                <c:formatCode>"$"#,##0.00</c:formatCode>
                <c:ptCount val="4"/>
                <c:pt idx="0">
                  <c:v>157531.17999999993</c:v>
                </c:pt>
                <c:pt idx="1">
                  <c:v>148001.59000000003</c:v>
                </c:pt>
                <c:pt idx="2">
                  <c:v>153955.11999999997</c:v>
                </c:pt>
                <c:pt idx="3">
                  <c:v>147713.33999999997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1-5449-9C94-AC415014C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494463"/>
        <c:axId val="1315487743"/>
      </c:barChart>
      <c:catAx>
        <c:axId val="131549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87743"/>
        <c:crosses val="autoZero"/>
        <c:auto val="1"/>
        <c:lblAlgn val="ctr"/>
        <c:lblOffset val="100"/>
        <c:noMultiLvlLbl val="0"/>
      </c:catAx>
      <c:valAx>
        <c:axId val="13154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9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711200</xdr:colOff>
      <xdr:row>0</xdr:row>
      <xdr:rowOff>25400</xdr:rowOff>
    </xdr:from>
    <xdr:to>
      <xdr:col>17</xdr:col>
      <xdr:colOff>330200</xdr:colOff>
      <xdr:row>12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47D46-034F-8646-8BA2-CFEC906E2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685800</xdr:colOff>
      <xdr:row>13</xdr:row>
      <xdr:rowOff>152400</xdr:rowOff>
    </xdr:from>
    <xdr:to>
      <xdr:col>17</xdr:col>
      <xdr:colOff>304800</xdr:colOff>
      <xdr:row>27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4679B-5CDB-D441-BB14-337C5178B4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685800</xdr:colOff>
      <xdr:row>28</xdr:row>
      <xdr:rowOff>88900</xdr:rowOff>
    </xdr:from>
    <xdr:to>
      <xdr:col>17</xdr:col>
      <xdr:colOff>304800</xdr:colOff>
      <xdr:row>41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49D082-E437-7741-A2E8-362D34062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171450</xdr:rowOff>
    </xdr:from>
    <xdr:to>
      <xdr:col>8</xdr:col>
      <xdr:colOff>152400</xdr:colOff>
      <xdr:row>14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DE34F-38FD-D04B-6B3F-4E02E8227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0</xdr:row>
      <xdr:rowOff>133350</xdr:rowOff>
    </xdr:from>
    <xdr:to>
      <xdr:col>8</xdr:col>
      <xdr:colOff>723900</xdr:colOff>
      <xdr:row>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F0A30-7A9A-8061-223E-2C77C9B2B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0</xdr:row>
      <xdr:rowOff>0</xdr:rowOff>
    </xdr:from>
    <xdr:to>
      <xdr:col>10</xdr:col>
      <xdr:colOff>342900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539B6-B239-4ED5-49A8-B731FACC1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 Persaud" refreshedDate="46074.535982638889" createdVersion="8" refreshedVersion="8" minRefreshableVersion="3" recordCount="400" xr:uid="{A1A88547-2A7E-C641-BD41-6686230BE3E4}">
  <cacheSource type="worksheet">
    <worksheetSource ref="A1:M401" sheet="fashion_retail_customers"/>
  </cacheSource>
  <cacheFields count="13">
    <cacheField name="customer_id" numFmtId="0">
      <sharedItems containsSemiMixedTypes="0" containsString="0" containsNumber="1" containsInteger="1" minValue="1" maxValue="400"/>
    </cacheField>
    <cacheField name="age" numFmtId="0">
      <sharedItems containsSemiMixedTypes="0" containsString="0" containsNumber="1" containsInteger="1" minValue="18" maxValue="60"/>
    </cacheField>
    <cacheField name="gender" numFmtId="0">
      <sharedItems/>
    </cacheField>
    <cacheField name="location" numFmtId="0">
      <sharedItems/>
    </cacheField>
    <cacheField name="preferred_category" numFmtId="0">
      <sharedItems count="4">
        <s v="Fragrance"/>
        <s v="Haircare"/>
        <s v="Makeup"/>
        <s v="Skincare"/>
      </sharedItems>
    </cacheField>
    <cacheField name="purchase_frequency" numFmtId="0">
      <sharedItems count="3">
        <s v="High"/>
        <s v="Medium"/>
        <s v="Low"/>
      </sharedItems>
    </cacheField>
    <cacheField name="total_orders" numFmtId="0">
      <sharedItems containsSemiMixedTypes="0" containsString="0" containsNumber="1" containsInteger="1" minValue="1" maxValue="25"/>
    </cacheField>
    <cacheField name="total_spent" numFmtId="0">
      <sharedItems containsSemiMixedTypes="0" containsString="0" containsNumber="1" minValue="58.2" maxValue="2999.82"/>
    </cacheField>
    <cacheField name="avg_order_value" numFmtId="0">
      <sharedItems containsSemiMixedTypes="0" containsString="0" containsNumber="1" minValue="20.96" maxValue="249.97"/>
    </cacheField>
    <cacheField name="last_purchase_days_ago" numFmtId="0">
      <sharedItems containsSemiMixedTypes="0" containsString="0" containsNumber="1" containsInteger="1" minValue="1" maxValue="365"/>
    </cacheField>
    <cacheField name="discount_usage_rate" numFmtId="0">
      <sharedItems containsSemiMixedTypes="0" containsString="0" containsNumber="1" minValue="0.01" maxValue="0.9"/>
    </cacheField>
    <cacheField name="return_rate" numFmtId="0">
      <sharedItems containsSemiMixedTypes="0" containsString="0" containsNumber="1" minValue="0" maxValue="0.4"/>
    </cacheField>
    <cacheField name="membership_status" numFmtId="0">
      <sharedItems count="2">
        <s v="Member"/>
        <s v="Non-M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n v="38"/>
    <s v="Female"/>
    <s v="Texas"/>
    <x v="0"/>
    <x v="0"/>
    <n v="7"/>
    <n v="2536.9299999999998"/>
    <n v="28.54"/>
    <n v="145"/>
    <n v="0.14000000000000001"/>
    <n v="0"/>
    <x v="0"/>
  </r>
  <r>
    <n v="2"/>
    <n v="27"/>
    <s v="Male"/>
    <s v="California"/>
    <x v="0"/>
    <x v="1"/>
    <n v="7"/>
    <n v="1715.05"/>
    <n v="93.27"/>
    <n v="257"/>
    <n v="0.23"/>
    <n v="0.2"/>
    <x v="0"/>
  </r>
  <r>
    <n v="3"/>
    <n v="43"/>
    <s v="Female"/>
    <s v="Texas"/>
    <x v="1"/>
    <x v="2"/>
    <n v="7"/>
    <n v="2958.19"/>
    <n v="198.74"/>
    <n v="332"/>
    <n v="0.09"/>
    <n v="0.01"/>
    <x v="0"/>
  </r>
  <r>
    <n v="4"/>
    <n v="59"/>
    <s v="Male"/>
    <s v="Florida"/>
    <x v="2"/>
    <x v="1"/>
    <n v="3"/>
    <n v="995.86"/>
    <n v="99.5"/>
    <n v="51"/>
    <n v="0.32"/>
    <n v="0.04"/>
    <x v="1"/>
  </r>
  <r>
    <n v="5"/>
    <n v="21"/>
    <s v="Female"/>
    <s v="New York"/>
    <x v="0"/>
    <x v="1"/>
    <n v="6"/>
    <n v="1231.75"/>
    <n v="230.14"/>
    <n v="101"/>
    <n v="0.72"/>
    <n v="0.32"/>
    <x v="0"/>
  </r>
  <r>
    <n v="6"/>
    <n v="22"/>
    <s v="Male"/>
    <s v="New York"/>
    <x v="3"/>
    <x v="2"/>
    <n v="23"/>
    <n v="1705.19"/>
    <n v="115.96"/>
    <n v="124"/>
    <n v="0.47"/>
    <n v="0.17"/>
    <x v="1"/>
  </r>
  <r>
    <n v="7"/>
    <n v="52"/>
    <s v="Male"/>
    <s v="New York"/>
    <x v="3"/>
    <x v="2"/>
    <n v="10"/>
    <n v="1008.4"/>
    <n v="191.1"/>
    <n v="30"/>
    <n v="0.41"/>
    <n v="0.24"/>
    <x v="0"/>
  </r>
  <r>
    <n v="8"/>
    <n v="24"/>
    <s v="Male"/>
    <s v="Texas"/>
    <x v="0"/>
    <x v="0"/>
    <n v="12"/>
    <n v="482.56"/>
    <n v="249.57"/>
    <n v="67"/>
    <n v="0.08"/>
    <n v="0.18"/>
    <x v="0"/>
  </r>
  <r>
    <n v="9"/>
    <n v="41"/>
    <s v="Female"/>
    <s v="California"/>
    <x v="1"/>
    <x v="1"/>
    <n v="19"/>
    <n v="2056.48"/>
    <n v="161.53"/>
    <n v="308"/>
    <n v="0.36"/>
    <n v="0.13"/>
    <x v="0"/>
  </r>
  <r>
    <n v="10"/>
    <n v="55"/>
    <s v="Female"/>
    <s v="Florida"/>
    <x v="3"/>
    <x v="2"/>
    <n v="19"/>
    <n v="1092.5899999999999"/>
    <n v="70.78"/>
    <n v="25"/>
    <n v="0.9"/>
    <n v="0.09"/>
    <x v="1"/>
  </r>
  <r>
    <n v="11"/>
    <n v="21"/>
    <s v="Male"/>
    <s v="Texas"/>
    <x v="0"/>
    <x v="0"/>
    <n v="12"/>
    <n v="2617.9699999999998"/>
    <n v="141.28"/>
    <n v="41"/>
    <n v="0.63"/>
    <n v="0.14000000000000001"/>
    <x v="1"/>
  </r>
  <r>
    <n v="12"/>
    <n v="50"/>
    <s v="Female"/>
    <s v="California"/>
    <x v="1"/>
    <x v="1"/>
    <n v="13"/>
    <n v="2006.2"/>
    <n v="100.28"/>
    <n v="38"/>
    <n v="0.4"/>
    <n v="0.34"/>
    <x v="0"/>
  </r>
  <r>
    <n v="13"/>
    <n v="31"/>
    <s v="Female"/>
    <s v="New York"/>
    <x v="0"/>
    <x v="0"/>
    <n v="25"/>
    <n v="84.09"/>
    <n v="238.41"/>
    <n v="295"/>
    <n v="0.43"/>
    <n v="0.25"/>
    <x v="0"/>
  </r>
  <r>
    <n v="14"/>
    <n v="20"/>
    <s v="Male"/>
    <s v="New York"/>
    <x v="0"/>
    <x v="0"/>
    <n v="17"/>
    <n v="371.63"/>
    <n v="121.79"/>
    <n v="175"/>
    <n v="0.72"/>
    <n v="0.12"/>
    <x v="1"/>
  </r>
  <r>
    <n v="15"/>
    <n v="23"/>
    <s v="Female"/>
    <s v="Texas"/>
    <x v="1"/>
    <x v="2"/>
    <n v="5"/>
    <n v="603.11"/>
    <n v="98.27"/>
    <n v="70"/>
    <n v="0.68"/>
    <n v="0.04"/>
    <x v="0"/>
  </r>
  <r>
    <n v="16"/>
    <n v="45"/>
    <s v="Female"/>
    <s v="Florida"/>
    <x v="0"/>
    <x v="0"/>
    <n v="8"/>
    <n v="1006.83"/>
    <n v="135.71"/>
    <n v="3"/>
    <n v="0.13"/>
    <n v="0.11"/>
    <x v="1"/>
  </r>
  <r>
    <n v="17"/>
    <n v="44"/>
    <s v="Male"/>
    <s v="Texas"/>
    <x v="2"/>
    <x v="2"/>
    <n v="2"/>
    <n v="642.32000000000005"/>
    <n v="178.34"/>
    <n v="97"/>
    <n v="0.61"/>
    <n v="0.28000000000000003"/>
    <x v="0"/>
  </r>
  <r>
    <n v="18"/>
    <n v="22"/>
    <s v="Female"/>
    <s v="Texas"/>
    <x v="0"/>
    <x v="2"/>
    <n v="16"/>
    <n v="2023.96"/>
    <n v="212.94"/>
    <n v="139"/>
    <n v="0.33"/>
    <n v="0.18"/>
    <x v="0"/>
  </r>
  <r>
    <n v="19"/>
    <n v="33"/>
    <s v="Male"/>
    <s v="California"/>
    <x v="0"/>
    <x v="2"/>
    <n v="12"/>
    <n v="715.16"/>
    <n v="163.97"/>
    <n v="275"/>
    <n v="0.47"/>
    <n v="0.26"/>
    <x v="0"/>
  </r>
  <r>
    <n v="20"/>
    <n v="23"/>
    <s v="Female"/>
    <s v="Florida"/>
    <x v="3"/>
    <x v="0"/>
    <n v="4"/>
    <n v="1291.1500000000001"/>
    <n v="136.99"/>
    <n v="329"/>
    <n v="0.21"/>
    <n v="0.32"/>
    <x v="0"/>
  </r>
  <r>
    <n v="21"/>
    <n v="53"/>
    <s v="Male"/>
    <s v="California"/>
    <x v="1"/>
    <x v="1"/>
    <n v="12"/>
    <n v="1221.3"/>
    <n v="175.62"/>
    <n v="8"/>
    <n v="0.33"/>
    <n v="0.05"/>
    <x v="0"/>
  </r>
  <r>
    <n v="22"/>
    <n v="45"/>
    <s v="Female"/>
    <s v="California"/>
    <x v="2"/>
    <x v="1"/>
    <n v="21"/>
    <n v="2992.64"/>
    <n v="67.37"/>
    <n v="328"/>
    <n v="0.31"/>
    <n v="0.27"/>
    <x v="1"/>
  </r>
  <r>
    <n v="23"/>
    <n v="21"/>
    <s v="Female"/>
    <s v="New York"/>
    <x v="2"/>
    <x v="0"/>
    <n v="15"/>
    <n v="1388.51"/>
    <n v="174.82"/>
    <n v="166"/>
    <n v="0.34"/>
    <n v="0.02"/>
    <x v="0"/>
  </r>
  <r>
    <n v="24"/>
    <n v="54"/>
    <s v="Male"/>
    <s v="Florida"/>
    <x v="3"/>
    <x v="2"/>
    <n v="3"/>
    <n v="187.95"/>
    <n v="214.71"/>
    <n v="15"/>
    <n v="0.02"/>
    <n v="0.33"/>
    <x v="1"/>
  </r>
  <r>
    <n v="25"/>
    <n v="25"/>
    <s v="Male"/>
    <s v="Texas"/>
    <x v="0"/>
    <x v="0"/>
    <n v="5"/>
    <n v="2941.56"/>
    <n v="199"/>
    <n v="109"/>
    <n v="0.18"/>
    <n v="7.0000000000000007E-2"/>
    <x v="0"/>
  </r>
  <r>
    <n v="26"/>
    <n v="32"/>
    <s v="Female"/>
    <s v="New York"/>
    <x v="0"/>
    <x v="2"/>
    <n v="11"/>
    <n v="2921.21"/>
    <n v="132.59"/>
    <n v="165"/>
    <n v="0.51"/>
    <n v="0.11"/>
    <x v="0"/>
  </r>
  <r>
    <n v="27"/>
    <n v="58"/>
    <s v="Female"/>
    <s v="New York"/>
    <x v="0"/>
    <x v="2"/>
    <n v="20"/>
    <n v="168.79"/>
    <n v="63.54"/>
    <n v="168"/>
    <n v="0.05"/>
    <n v="0.38"/>
    <x v="0"/>
  </r>
  <r>
    <n v="28"/>
    <n v="58"/>
    <s v="Female"/>
    <s v="California"/>
    <x v="0"/>
    <x v="2"/>
    <n v="1"/>
    <n v="2603.54"/>
    <n v="239.03"/>
    <n v="14"/>
    <n v="0.16"/>
    <n v="0.14000000000000001"/>
    <x v="0"/>
  </r>
  <r>
    <n v="29"/>
    <n v="55"/>
    <s v="Male"/>
    <s v="Florida"/>
    <x v="3"/>
    <x v="1"/>
    <n v="12"/>
    <n v="1881.73"/>
    <n v="209.79"/>
    <n v="333"/>
    <n v="0.65"/>
    <n v="0.09"/>
    <x v="0"/>
  </r>
  <r>
    <n v="30"/>
    <n v="21"/>
    <s v="Male"/>
    <s v="Florida"/>
    <x v="3"/>
    <x v="1"/>
    <n v="9"/>
    <n v="2757.89"/>
    <n v="148.6"/>
    <n v="249"/>
    <n v="0.25"/>
    <n v="0.36"/>
    <x v="0"/>
  </r>
  <r>
    <n v="31"/>
    <n v="54"/>
    <s v="Male"/>
    <s v="New York"/>
    <x v="2"/>
    <x v="2"/>
    <n v="17"/>
    <n v="1889.24"/>
    <n v="60.14"/>
    <n v="208"/>
    <n v="0.28999999999999998"/>
    <n v="0.24"/>
    <x v="1"/>
  </r>
  <r>
    <n v="32"/>
    <n v="55"/>
    <s v="Male"/>
    <s v="Texas"/>
    <x v="2"/>
    <x v="2"/>
    <n v="20"/>
    <n v="1903.34"/>
    <n v="57.65"/>
    <n v="313"/>
    <n v="0.22"/>
    <n v="0.36"/>
    <x v="1"/>
  </r>
  <r>
    <n v="33"/>
    <n v="43"/>
    <s v="Female"/>
    <s v="California"/>
    <x v="0"/>
    <x v="1"/>
    <n v="1"/>
    <n v="2428.67"/>
    <n v="199.6"/>
    <n v="348"/>
    <n v="0.75"/>
    <n v="0.16"/>
    <x v="1"/>
  </r>
  <r>
    <n v="34"/>
    <n v="21"/>
    <s v="Male"/>
    <s v="Florida"/>
    <x v="1"/>
    <x v="0"/>
    <n v="4"/>
    <n v="155.55000000000001"/>
    <n v="74.28"/>
    <n v="173"/>
    <n v="0.08"/>
    <n v="0.2"/>
    <x v="0"/>
  </r>
  <r>
    <n v="35"/>
    <n v="32"/>
    <s v="Male"/>
    <s v="Texas"/>
    <x v="1"/>
    <x v="2"/>
    <n v="2"/>
    <n v="346.49"/>
    <n v="79.86"/>
    <n v="90"/>
    <n v="0.56999999999999995"/>
    <n v="0.38"/>
    <x v="0"/>
  </r>
  <r>
    <n v="36"/>
    <n v="20"/>
    <s v="Female"/>
    <s v="California"/>
    <x v="0"/>
    <x v="0"/>
    <n v="7"/>
    <n v="409.01"/>
    <n v="241.63"/>
    <n v="30"/>
    <n v="0.77"/>
    <n v="0.2"/>
    <x v="0"/>
  </r>
  <r>
    <n v="37"/>
    <n v="53"/>
    <s v="Male"/>
    <s v="Florida"/>
    <x v="3"/>
    <x v="0"/>
    <n v="19"/>
    <n v="90.32"/>
    <n v="58.65"/>
    <n v="213"/>
    <n v="0.18"/>
    <n v="0.4"/>
    <x v="0"/>
  </r>
  <r>
    <n v="38"/>
    <n v="26"/>
    <s v="Female"/>
    <s v="New York"/>
    <x v="2"/>
    <x v="0"/>
    <n v="16"/>
    <n v="748.12"/>
    <n v="99.86"/>
    <n v="24"/>
    <n v="0.38"/>
    <n v="0.08"/>
    <x v="1"/>
  </r>
  <r>
    <n v="39"/>
    <n v="36"/>
    <s v="Male"/>
    <s v="Texas"/>
    <x v="1"/>
    <x v="2"/>
    <n v="19"/>
    <n v="166.29"/>
    <n v="41.28"/>
    <n v="45"/>
    <n v="0.71"/>
    <n v="0.33"/>
    <x v="0"/>
  </r>
  <r>
    <n v="40"/>
    <n v="44"/>
    <s v="Male"/>
    <s v="Florida"/>
    <x v="2"/>
    <x v="0"/>
    <n v="19"/>
    <n v="383.48"/>
    <n v="166.4"/>
    <n v="321"/>
    <n v="0.56000000000000005"/>
    <n v="0.06"/>
    <x v="0"/>
  </r>
  <r>
    <n v="41"/>
    <n v="27"/>
    <s v="Male"/>
    <s v="Texas"/>
    <x v="3"/>
    <x v="0"/>
    <n v="7"/>
    <n v="1075.28"/>
    <n v="51.55"/>
    <n v="314"/>
    <n v="0.33"/>
    <n v="0.21"/>
    <x v="0"/>
  </r>
  <r>
    <n v="42"/>
    <n v="52"/>
    <s v="Female"/>
    <s v="Florida"/>
    <x v="3"/>
    <x v="0"/>
    <n v="9"/>
    <n v="542.59"/>
    <n v="177.83"/>
    <n v="172"/>
    <n v="0.04"/>
    <n v="0"/>
    <x v="1"/>
  </r>
  <r>
    <n v="43"/>
    <n v="25"/>
    <s v="Male"/>
    <s v="California"/>
    <x v="3"/>
    <x v="1"/>
    <n v="25"/>
    <n v="228"/>
    <n v="131.88"/>
    <n v="254"/>
    <n v="0.4"/>
    <n v="7.0000000000000007E-2"/>
    <x v="0"/>
  </r>
  <r>
    <n v="44"/>
    <n v="54"/>
    <s v="Male"/>
    <s v="New York"/>
    <x v="3"/>
    <x v="2"/>
    <n v="9"/>
    <n v="2879.29"/>
    <n v="131.04"/>
    <n v="307"/>
    <n v="0.33"/>
    <n v="0.38"/>
    <x v="0"/>
  </r>
  <r>
    <n v="45"/>
    <n v="37"/>
    <s v="Male"/>
    <s v="Texas"/>
    <x v="0"/>
    <x v="1"/>
    <n v="14"/>
    <n v="2767.12"/>
    <n v="182.29"/>
    <n v="205"/>
    <n v="0.64"/>
    <n v="0.18"/>
    <x v="1"/>
  </r>
  <r>
    <n v="46"/>
    <n v="53"/>
    <s v="Female"/>
    <s v="New York"/>
    <x v="0"/>
    <x v="0"/>
    <n v="4"/>
    <n v="2709.19"/>
    <n v="21.35"/>
    <n v="132"/>
    <n v="0.27"/>
    <n v="0.32"/>
    <x v="0"/>
  </r>
  <r>
    <n v="47"/>
    <n v="29"/>
    <s v="Female"/>
    <s v="California"/>
    <x v="3"/>
    <x v="2"/>
    <n v="15"/>
    <n v="299.2"/>
    <n v="179.05"/>
    <n v="238"/>
    <n v="0.37"/>
    <n v="0.1"/>
    <x v="0"/>
  </r>
  <r>
    <n v="48"/>
    <n v="24"/>
    <s v="Female"/>
    <s v="Florida"/>
    <x v="0"/>
    <x v="0"/>
    <n v="25"/>
    <n v="1791.23"/>
    <n v="50.61"/>
    <n v="7"/>
    <n v="0.57999999999999996"/>
    <n v="0.14000000000000001"/>
    <x v="0"/>
  </r>
  <r>
    <n v="49"/>
    <n v="55"/>
    <s v="Female"/>
    <s v="California"/>
    <x v="2"/>
    <x v="2"/>
    <n v="19"/>
    <n v="2799.18"/>
    <n v="167.41"/>
    <n v="14"/>
    <n v="0.73"/>
    <n v="0.04"/>
    <x v="0"/>
  </r>
  <r>
    <n v="50"/>
    <n v="54"/>
    <s v="Female"/>
    <s v="Texas"/>
    <x v="1"/>
    <x v="0"/>
    <n v="20"/>
    <n v="1347.93"/>
    <n v="180.55"/>
    <n v="163"/>
    <n v="0.32"/>
    <n v="0.22"/>
    <x v="0"/>
  </r>
  <r>
    <n v="51"/>
    <n v="58"/>
    <s v="Male"/>
    <s v="California"/>
    <x v="0"/>
    <x v="1"/>
    <n v="5"/>
    <n v="1559.32"/>
    <n v="50.68"/>
    <n v="289"/>
    <n v="0.35"/>
    <n v="0.34"/>
    <x v="1"/>
  </r>
  <r>
    <n v="52"/>
    <n v="30"/>
    <s v="Male"/>
    <s v="California"/>
    <x v="2"/>
    <x v="0"/>
    <n v="9"/>
    <n v="2661.31"/>
    <n v="182.77"/>
    <n v="335"/>
    <n v="0.52"/>
    <n v="0.21"/>
    <x v="1"/>
  </r>
  <r>
    <n v="53"/>
    <n v="41"/>
    <s v="Female"/>
    <s v="Florida"/>
    <x v="2"/>
    <x v="2"/>
    <n v="2"/>
    <n v="2750.99"/>
    <n v="155.13999999999999"/>
    <n v="161"/>
    <n v="0.83"/>
    <n v="0.15"/>
    <x v="1"/>
  </r>
  <r>
    <n v="54"/>
    <n v="24"/>
    <s v="Female"/>
    <s v="California"/>
    <x v="0"/>
    <x v="0"/>
    <n v="11"/>
    <n v="1753.17"/>
    <n v="75.38"/>
    <n v="29"/>
    <n v="0.17"/>
    <n v="0.37"/>
    <x v="1"/>
  </r>
  <r>
    <n v="55"/>
    <n v="53"/>
    <s v="Male"/>
    <s v="Texas"/>
    <x v="1"/>
    <x v="2"/>
    <n v="7"/>
    <n v="858.63"/>
    <n v="164.76"/>
    <n v="213"/>
    <n v="0.87"/>
    <n v="0.36"/>
    <x v="1"/>
  </r>
  <r>
    <n v="56"/>
    <n v="22"/>
    <s v="Female"/>
    <s v="Texas"/>
    <x v="2"/>
    <x v="1"/>
    <n v="6"/>
    <n v="2221"/>
    <n v="47.13"/>
    <n v="315"/>
    <n v="0.64"/>
    <n v="0.27"/>
    <x v="0"/>
  </r>
  <r>
    <n v="57"/>
    <n v="54"/>
    <s v="Male"/>
    <s v="New York"/>
    <x v="2"/>
    <x v="1"/>
    <n v="13"/>
    <n v="2234.19"/>
    <n v="117.67"/>
    <n v="364"/>
    <n v="0.34"/>
    <n v="0.03"/>
    <x v="1"/>
  </r>
  <r>
    <n v="58"/>
    <n v="21"/>
    <s v="Male"/>
    <s v="Florida"/>
    <x v="3"/>
    <x v="2"/>
    <n v="3"/>
    <n v="897.14"/>
    <n v="236.48"/>
    <n v="169"/>
    <n v="0.6"/>
    <n v="0.25"/>
    <x v="1"/>
  </r>
  <r>
    <n v="59"/>
    <n v="57"/>
    <s v="Male"/>
    <s v="California"/>
    <x v="2"/>
    <x v="2"/>
    <n v="1"/>
    <n v="1389.72"/>
    <n v="175.72"/>
    <n v="81"/>
    <n v="0.3"/>
    <n v="0.18"/>
    <x v="0"/>
  </r>
  <r>
    <n v="60"/>
    <n v="31"/>
    <s v="Female"/>
    <s v="California"/>
    <x v="2"/>
    <x v="1"/>
    <n v="2"/>
    <n v="2099.7600000000002"/>
    <n v="55.6"/>
    <n v="48"/>
    <n v="0.06"/>
    <n v="0.38"/>
    <x v="0"/>
  </r>
  <r>
    <n v="61"/>
    <n v="49"/>
    <s v="Male"/>
    <s v="Florida"/>
    <x v="1"/>
    <x v="1"/>
    <n v="2"/>
    <n v="703.77"/>
    <n v="245.24"/>
    <n v="10"/>
    <n v="0.68"/>
    <n v="0.14000000000000001"/>
    <x v="0"/>
  </r>
  <r>
    <n v="62"/>
    <n v="52"/>
    <s v="Male"/>
    <s v="Florida"/>
    <x v="3"/>
    <x v="0"/>
    <n v="18"/>
    <n v="1190.6199999999999"/>
    <n v="213.08"/>
    <n v="80"/>
    <n v="0.34"/>
    <n v="0.26"/>
    <x v="0"/>
  </r>
  <r>
    <n v="63"/>
    <n v="45"/>
    <s v="Female"/>
    <s v="New York"/>
    <x v="3"/>
    <x v="2"/>
    <n v="12"/>
    <n v="1668.29"/>
    <n v="113.4"/>
    <n v="108"/>
    <n v="0.47"/>
    <n v="0.25"/>
    <x v="0"/>
  </r>
  <r>
    <n v="64"/>
    <n v="38"/>
    <s v="Male"/>
    <s v="California"/>
    <x v="2"/>
    <x v="1"/>
    <n v="23"/>
    <n v="1132.0999999999999"/>
    <n v="67.45"/>
    <n v="74"/>
    <n v="0.45"/>
    <n v="0.15"/>
    <x v="0"/>
  </r>
  <r>
    <n v="65"/>
    <n v="47"/>
    <s v="Female"/>
    <s v="Florida"/>
    <x v="0"/>
    <x v="1"/>
    <n v="15"/>
    <n v="2680.84"/>
    <n v="178.73"/>
    <n v="272"/>
    <n v="0.81"/>
    <n v="0.21"/>
    <x v="0"/>
  </r>
  <r>
    <n v="66"/>
    <n v="55"/>
    <s v="Female"/>
    <s v="New York"/>
    <x v="1"/>
    <x v="2"/>
    <n v="16"/>
    <n v="945.92"/>
    <n v="22.85"/>
    <n v="47"/>
    <n v="0.68"/>
    <n v="0.27"/>
    <x v="1"/>
  </r>
  <r>
    <n v="67"/>
    <n v="47"/>
    <s v="Male"/>
    <s v="California"/>
    <x v="0"/>
    <x v="0"/>
    <n v="3"/>
    <n v="1459.67"/>
    <n v="131.91999999999999"/>
    <n v="184"/>
    <n v="0.02"/>
    <n v="0.36"/>
    <x v="1"/>
  </r>
  <r>
    <n v="68"/>
    <n v="41"/>
    <s v="Female"/>
    <s v="New York"/>
    <x v="3"/>
    <x v="1"/>
    <n v="20"/>
    <n v="2465.52"/>
    <n v="29.98"/>
    <n v="186"/>
    <n v="0.53"/>
    <n v="0.2"/>
    <x v="1"/>
  </r>
  <r>
    <n v="69"/>
    <n v="37"/>
    <s v="Male"/>
    <s v="California"/>
    <x v="3"/>
    <x v="2"/>
    <n v="21"/>
    <n v="141.34"/>
    <n v="226.04"/>
    <n v="217"/>
    <n v="0.42"/>
    <n v="0.15"/>
    <x v="0"/>
  </r>
  <r>
    <n v="70"/>
    <n v="33"/>
    <s v="Female"/>
    <s v="Florida"/>
    <x v="0"/>
    <x v="1"/>
    <n v="13"/>
    <n v="1034.32"/>
    <n v="89.9"/>
    <n v="177"/>
    <n v="0.42"/>
    <n v="0.39"/>
    <x v="0"/>
  </r>
  <r>
    <n v="71"/>
    <n v="29"/>
    <s v="Female"/>
    <s v="New York"/>
    <x v="1"/>
    <x v="2"/>
    <n v="4"/>
    <n v="606.97"/>
    <n v="45.44"/>
    <n v="276"/>
    <n v="0.76"/>
    <n v="0.02"/>
    <x v="0"/>
  </r>
  <r>
    <n v="72"/>
    <n v="33"/>
    <s v="Male"/>
    <s v="New York"/>
    <x v="1"/>
    <x v="0"/>
    <n v="23"/>
    <n v="1660.45"/>
    <n v="91.05"/>
    <n v="349"/>
    <n v="0.37"/>
    <n v="0.33"/>
    <x v="0"/>
  </r>
  <r>
    <n v="73"/>
    <n v="23"/>
    <s v="Female"/>
    <s v="California"/>
    <x v="2"/>
    <x v="0"/>
    <n v="3"/>
    <n v="2910.34"/>
    <n v="241.46"/>
    <n v="302"/>
    <n v="0.43"/>
    <n v="0.27"/>
    <x v="0"/>
  </r>
  <r>
    <n v="74"/>
    <n v="54"/>
    <s v="Female"/>
    <s v="Florida"/>
    <x v="2"/>
    <x v="0"/>
    <n v="9"/>
    <n v="1219.54"/>
    <n v="57.1"/>
    <n v="285"/>
    <n v="0.8"/>
    <n v="0.22"/>
    <x v="0"/>
  </r>
  <r>
    <n v="75"/>
    <n v="37"/>
    <s v="Female"/>
    <s v="Florida"/>
    <x v="3"/>
    <x v="2"/>
    <n v="11"/>
    <n v="2776.37"/>
    <n v="122.37"/>
    <n v="79"/>
    <n v="0.4"/>
    <n v="0.18"/>
    <x v="1"/>
  </r>
  <r>
    <n v="76"/>
    <n v="51"/>
    <s v="Male"/>
    <s v="Texas"/>
    <x v="3"/>
    <x v="2"/>
    <n v="19"/>
    <n v="528.77"/>
    <n v="150.91"/>
    <n v="337"/>
    <n v="0.44"/>
    <n v="0.3"/>
    <x v="0"/>
  </r>
  <r>
    <n v="77"/>
    <n v="49"/>
    <s v="Female"/>
    <s v="New York"/>
    <x v="3"/>
    <x v="1"/>
    <n v="8"/>
    <n v="2858.63"/>
    <n v="86.59"/>
    <n v="309"/>
    <n v="0.46"/>
    <n v="0.36"/>
    <x v="0"/>
  </r>
  <r>
    <n v="78"/>
    <n v="39"/>
    <s v="Male"/>
    <s v="New York"/>
    <x v="3"/>
    <x v="1"/>
    <n v="21"/>
    <n v="1005.66"/>
    <n v="148.22999999999999"/>
    <n v="295"/>
    <n v="0.74"/>
    <n v="0.28999999999999998"/>
    <x v="1"/>
  </r>
  <r>
    <n v="79"/>
    <n v="46"/>
    <s v="Female"/>
    <s v="California"/>
    <x v="1"/>
    <x v="0"/>
    <n v="3"/>
    <n v="1010.16"/>
    <n v="30.48"/>
    <n v="170"/>
    <n v="0.6"/>
    <n v="0.3"/>
    <x v="1"/>
  </r>
  <r>
    <n v="80"/>
    <n v="36"/>
    <s v="Male"/>
    <s v="Texas"/>
    <x v="2"/>
    <x v="0"/>
    <n v="22"/>
    <n v="846.29"/>
    <n v="127.76"/>
    <n v="118"/>
    <n v="0.67"/>
    <n v="0.01"/>
    <x v="1"/>
  </r>
  <r>
    <n v="81"/>
    <n v="56"/>
    <s v="Male"/>
    <s v="California"/>
    <x v="2"/>
    <x v="1"/>
    <n v="17"/>
    <n v="2641.2"/>
    <n v="245.36"/>
    <n v="317"/>
    <n v="0.36"/>
    <n v="0.13"/>
    <x v="0"/>
  </r>
  <r>
    <n v="82"/>
    <n v="22"/>
    <s v="Male"/>
    <s v="California"/>
    <x v="2"/>
    <x v="0"/>
    <n v="13"/>
    <n v="687.62"/>
    <n v="131.66999999999999"/>
    <n v="133"/>
    <n v="0.04"/>
    <n v="0.05"/>
    <x v="1"/>
  </r>
  <r>
    <n v="83"/>
    <n v="25"/>
    <s v="Female"/>
    <s v="Florida"/>
    <x v="3"/>
    <x v="1"/>
    <n v="6"/>
    <n v="217.88"/>
    <n v="191.88"/>
    <n v="365"/>
    <n v="0.61"/>
    <n v="0.38"/>
    <x v="1"/>
  </r>
  <r>
    <n v="84"/>
    <n v="50"/>
    <s v="Female"/>
    <s v="New York"/>
    <x v="3"/>
    <x v="1"/>
    <n v="15"/>
    <n v="114.27"/>
    <n v="96.3"/>
    <n v="245"/>
    <n v="0.5"/>
    <n v="0.36"/>
    <x v="1"/>
  </r>
  <r>
    <n v="85"/>
    <n v="44"/>
    <s v="Female"/>
    <s v="Texas"/>
    <x v="3"/>
    <x v="1"/>
    <n v="6"/>
    <n v="1675.83"/>
    <n v="189.97"/>
    <n v="17"/>
    <n v="0.69"/>
    <n v="0.06"/>
    <x v="0"/>
  </r>
  <r>
    <n v="86"/>
    <n v="28"/>
    <s v="Female"/>
    <s v="Florida"/>
    <x v="2"/>
    <x v="1"/>
    <n v="12"/>
    <n v="1837.48"/>
    <n v="80.819999999999993"/>
    <n v="332"/>
    <n v="0.69"/>
    <n v="0.24"/>
    <x v="1"/>
  </r>
  <r>
    <n v="87"/>
    <n v="39"/>
    <s v="Female"/>
    <s v="Texas"/>
    <x v="2"/>
    <x v="1"/>
    <n v="8"/>
    <n v="1076.58"/>
    <n v="168.37"/>
    <n v="159"/>
    <n v="0.11"/>
    <n v="0.23"/>
    <x v="1"/>
  </r>
  <r>
    <n v="88"/>
    <n v="27"/>
    <s v="Male"/>
    <s v="Texas"/>
    <x v="1"/>
    <x v="0"/>
    <n v="24"/>
    <n v="1990.27"/>
    <n v="240.05"/>
    <n v="334"/>
    <n v="0.2"/>
    <n v="0.02"/>
    <x v="0"/>
  </r>
  <r>
    <n v="89"/>
    <n v="49"/>
    <s v="Female"/>
    <s v="Florida"/>
    <x v="2"/>
    <x v="2"/>
    <n v="8"/>
    <n v="1575.14"/>
    <n v="132.32"/>
    <n v="282"/>
    <n v="7.0000000000000007E-2"/>
    <n v="0.16"/>
    <x v="0"/>
  </r>
  <r>
    <n v="90"/>
    <n v="44"/>
    <s v="Female"/>
    <s v="California"/>
    <x v="1"/>
    <x v="2"/>
    <n v="6"/>
    <n v="2511.27"/>
    <n v="200.29"/>
    <n v="362"/>
    <n v="0.74"/>
    <n v="0.3"/>
    <x v="1"/>
  </r>
  <r>
    <n v="91"/>
    <n v="20"/>
    <s v="Female"/>
    <s v="New York"/>
    <x v="2"/>
    <x v="0"/>
    <n v="2"/>
    <n v="1094.6300000000001"/>
    <n v="94.02"/>
    <n v="233"/>
    <n v="0.09"/>
    <n v="0.26"/>
    <x v="0"/>
  </r>
  <r>
    <n v="92"/>
    <n v="60"/>
    <s v="Male"/>
    <s v="New York"/>
    <x v="0"/>
    <x v="1"/>
    <n v="9"/>
    <n v="2300.39"/>
    <n v="102.64"/>
    <n v="287"/>
    <n v="0.08"/>
    <n v="0.11"/>
    <x v="1"/>
  </r>
  <r>
    <n v="93"/>
    <n v="22"/>
    <s v="Male"/>
    <s v="New York"/>
    <x v="3"/>
    <x v="0"/>
    <n v="12"/>
    <n v="1586.74"/>
    <n v="40.92"/>
    <n v="143"/>
    <n v="0.68"/>
    <n v="0.3"/>
    <x v="1"/>
  </r>
  <r>
    <n v="94"/>
    <n v="53"/>
    <s v="Female"/>
    <s v="Texas"/>
    <x v="0"/>
    <x v="0"/>
    <n v="2"/>
    <n v="2968.45"/>
    <n v="85.77"/>
    <n v="186"/>
    <n v="0.51"/>
    <n v="0.12"/>
    <x v="1"/>
  </r>
  <r>
    <n v="95"/>
    <n v="54"/>
    <s v="Male"/>
    <s v="New York"/>
    <x v="3"/>
    <x v="2"/>
    <n v="18"/>
    <n v="2049.09"/>
    <n v="161.07"/>
    <n v="268"/>
    <n v="0.05"/>
    <n v="0.22"/>
    <x v="0"/>
  </r>
  <r>
    <n v="96"/>
    <n v="38"/>
    <s v="Male"/>
    <s v="Texas"/>
    <x v="1"/>
    <x v="2"/>
    <n v="1"/>
    <n v="2805.15"/>
    <n v="188.05"/>
    <n v="272"/>
    <n v="0.61"/>
    <n v="0.17"/>
    <x v="0"/>
  </r>
  <r>
    <n v="97"/>
    <n v="39"/>
    <s v="Female"/>
    <s v="Florida"/>
    <x v="3"/>
    <x v="0"/>
    <n v="2"/>
    <n v="1279.42"/>
    <n v="180.85"/>
    <n v="141"/>
    <n v="0.64"/>
    <n v="0.39"/>
    <x v="1"/>
  </r>
  <r>
    <n v="98"/>
    <n v="40"/>
    <s v="Male"/>
    <s v="New York"/>
    <x v="1"/>
    <x v="2"/>
    <n v="9"/>
    <n v="2021.32"/>
    <n v="170.21"/>
    <n v="68"/>
    <n v="0.43"/>
    <n v="0.26"/>
    <x v="0"/>
  </r>
  <r>
    <n v="99"/>
    <n v="56"/>
    <s v="Male"/>
    <s v="California"/>
    <x v="1"/>
    <x v="0"/>
    <n v="17"/>
    <n v="463.97"/>
    <n v="37.97"/>
    <n v="130"/>
    <n v="0.05"/>
    <n v="0.32"/>
    <x v="1"/>
  </r>
  <r>
    <n v="100"/>
    <n v="49"/>
    <s v="Female"/>
    <s v="Florida"/>
    <x v="1"/>
    <x v="0"/>
    <n v="23"/>
    <n v="647.35"/>
    <n v="191.91"/>
    <n v="5"/>
    <n v="0.62"/>
    <n v="0.27"/>
    <x v="0"/>
  </r>
  <r>
    <n v="101"/>
    <n v="55"/>
    <s v="Male"/>
    <s v="Texas"/>
    <x v="3"/>
    <x v="1"/>
    <n v="24"/>
    <n v="1851.73"/>
    <n v="25.82"/>
    <n v="286"/>
    <n v="0.38"/>
    <n v="0.15"/>
    <x v="1"/>
  </r>
  <r>
    <n v="102"/>
    <n v="47"/>
    <s v="Female"/>
    <s v="Texas"/>
    <x v="1"/>
    <x v="2"/>
    <n v="21"/>
    <n v="866.41"/>
    <n v="110.91"/>
    <n v="244"/>
    <n v="0.53"/>
    <n v="0.39"/>
    <x v="1"/>
  </r>
  <r>
    <n v="103"/>
    <n v="22"/>
    <s v="Female"/>
    <s v="Florida"/>
    <x v="2"/>
    <x v="0"/>
    <n v="25"/>
    <n v="2524.9499999999998"/>
    <n v="53.38"/>
    <n v="52"/>
    <n v="0.9"/>
    <n v="0.28000000000000003"/>
    <x v="0"/>
  </r>
  <r>
    <n v="104"/>
    <n v="23"/>
    <s v="Female"/>
    <s v="New York"/>
    <x v="2"/>
    <x v="1"/>
    <n v="16"/>
    <n v="330.4"/>
    <n v="104.61"/>
    <n v="336"/>
    <n v="0.74"/>
    <n v="0.28000000000000003"/>
    <x v="0"/>
  </r>
  <r>
    <n v="105"/>
    <n v="35"/>
    <s v="Female"/>
    <s v="New York"/>
    <x v="3"/>
    <x v="1"/>
    <n v="2"/>
    <n v="2575.98"/>
    <n v="241.27"/>
    <n v="186"/>
    <n v="0.78"/>
    <n v="0.11"/>
    <x v="1"/>
  </r>
  <r>
    <n v="106"/>
    <n v="48"/>
    <s v="Male"/>
    <s v="Florida"/>
    <x v="0"/>
    <x v="2"/>
    <n v="4"/>
    <n v="2770.01"/>
    <n v="140.85"/>
    <n v="78"/>
    <n v="0.13"/>
    <n v="0.06"/>
    <x v="0"/>
  </r>
  <r>
    <n v="107"/>
    <n v="60"/>
    <s v="Female"/>
    <s v="California"/>
    <x v="2"/>
    <x v="2"/>
    <n v="5"/>
    <n v="2987.02"/>
    <n v="225.99"/>
    <n v="322"/>
    <n v="0.3"/>
    <n v="0.23"/>
    <x v="0"/>
  </r>
  <r>
    <n v="108"/>
    <n v="22"/>
    <s v="Male"/>
    <s v="Texas"/>
    <x v="3"/>
    <x v="2"/>
    <n v="11"/>
    <n v="842.61"/>
    <n v="176.88"/>
    <n v="117"/>
    <n v="0.47"/>
    <n v="0.33"/>
    <x v="0"/>
  </r>
  <r>
    <n v="109"/>
    <n v="21"/>
    <s v="Female"/>
    <s v="Florida"/>
    <x v="3"/>
    <x v="0"/>
    <n v="25"/>
    <n v="1910.47"/>
    <n v="43.5"/>
    <n v="206"/>
    <n v="0.01"/>
    <n v="0.32"/>
    <x v="0"/>
  </r>
  <r>
    <n v="110"/>
    <n v="37"/>
    <s v="Male"/>
    <s v="California"/>
    <x v="0"/>
    <x v="1"/>
    <n v="1"/>
    <n v="1914.8"/>
    <n v="185.34"/>
    <n v="47"/>
    <n v="0.89"/>
    <n v="0.14000000000000001"/>
    <x v="1"/>
  </r>
  <r>
    <n v="111"/>
    <n v="59"/>
    <s v="Male"/>
    <s v="Texas"/>
    <x v="0"/>
    <x v="0"/>
    <n v="7"/>
    <n v="2125.33"/>
    <n v="91.38"/>
    <n v="15"/>
    <n v="0.25"/>
    <n v="0.06"/>
    <x v="1"/>
  </r>
  <r>
    <n v="112"/>
    <n v="54"/>
    <s v="Male"/>
    <s v="Texas"/>
    <x v="3"/>
    <x v="2"/>
    <n v="22"/>
    <n v="1268.45"/>
    <n v="161.86000000000001"/>
    <n v="320"/>
    <n v="0.24"/>
    <n v="0.21"/>
    <x v="1"/>
  </r>
  <r>
    <n v="113"/>
    <n v="46"/>
    <s v="Male"/>
    <s v="Florida"/>
    <x v="0"/>
    <x v="1"/>
    <n v="24"/>
    <n v="354.9"/>
    <n v="107.26"/>
    <n v="69"/>
    <n v="0.28000000000000003"/>
    <n v="0.35"/>
    <x v="1"/>
  </r>
  <r>
    <n v="114"/>
    <n v="36"/>
    <s v="Female"/>
    <s v="New York"/>
    <x v="1"/>
    <x v="2"/>
    <n v="10"/>
    <n v="1260.73"/>
    <n v="168.88"/>
    <n v="63"/>
    <n v="0.23"/>
    <n v="0.06"/>
    <x v="0"/>
  </r>
  <r>
    <n v="115"/>
    <n v="42"/>
    <s v="Female"/>
    <s v="Florida"/>
    <x v="0"/>
    <x v="0"/>
    <n v="19"/>
    <n v="1672.34"/>
    <n v="101.94"/>
    <n v="31"/>
    <n v="0.77"/>
    <n v="0.3"/>
    <x v="0"/>
  </r>
  <r>
    <n v="116"/>
    <n v="60"/>
    <s v="Male"/>
    <s v="California"/>
    <x v="0"/>
    <x v="1"/>
    <n v="19"/>
    <n v="396.47"/>
    <n v="72.95"/>
    <n v="279"/>
    <n v="0.5"/>
    <n v="7.0000000000000007E-2"/>
    <x v="1"/>
  </r>
  <r>
    <n v="117"/>
    <n v="40"/>
    <s v="Female"/>
    <s v="Florida"/>
    <x v="2"/>
    <x v="1"/>
    <n v="15"/>
    <n v="1222.6099999999999"/>
    <n v="51.36"/>
    <n v="257"/>
    <n v="0.46"/>
    <n v="0.12"/>
    <x v="0"/>
  </r>
  <r>
    <n v="118"/>
    <n v="19"/>
    <s v="Female"/>
    <s v="New York"/>
    <x v="3"/>
    <x v="1"/>
    <n v="25"/>
    <n v="2979.13"/>
    <n v="231.53"/>
    <n v="105"/>
    <n v="0.38"/>
    <n v="0.02"/>
    <x v="0"/>
  </r>
  <r>
    <n v="119"/>
    <n v="47"/>
    <s v="Male"/>
    <s v="Florida"/>
    <x v="3"/>
    <x v="0"/>
    <n v="21"/>
    <n v="491.42"/>
    <n v="212.7"/>
    <n v="285"/>
    <n v="0.05"/>
    <n v="0.12"/>
    <x v="0"/>
  </r>
  <r>
    <n v="120"/>
    <n v="40"/>
    <s v="Male"/>
    <s v="New York"/>
    <x v="2"/>
    <x v="0"/>
    <n v="4"/>
    <n v="2557.34"/>
    <n v="78.319999999999993"/>
    <n v="94"/>
    <n v="0.27"/>
    <n v="0.15"/>
    <x v="0"/>
  </r>
  <r>
    <n v="121"/>
    <n v="28"/>
    <s v="Female"/>
    <s v="Florida"/>
    <x v="0"/>
    <x v="2"/>
    <n v="16"/>
    <n v="873.96"/>
    <n v="33.28"/>
    <n v="133"/>
    <n v="0.78"/>
    <n v="0.39"/>
    <x v="1"/>
  </r>
  <r>
    <n v="122"/>
    <n v="57"/>
    <s v="Female"/>
    <s v="New York"/>
    <x v="2"/>
    <x v="1"/>
    <n v="11"/>
    <n v="1883.13"/>
    <n v="44.66"/>
    <n v="311"/>
    <n v="0.72"/>
    <n v="0.38"/>
    <x v="0"/>
  </r>
  <r>
    <n v="123"/>
    <n v="25"/>
    <s v="Female"/>
    <s v="New York"/>
    <x v="2"/>
    <x v="1"/>
    <n v="12"/>
    <n v="377.53"/>
    <n v="204.64"/>
    <n v="188"/>
    <n v="0.77"/>
    <n v="7.0000000000000007E-2"/>
    <x v="0"/>
  </r>
  <r>
    <n v="124"/>
    <n v="49"/>
    <s v="Female"/>
    <s v="Texas"/>
    <x v="2"/>
    <x v="1"/>
    <n v="9"/>
    <n v="2562.4699999999998"/>
    <n v="231.85"/>
    <n v="77"/>
    <n v="0.23"/>
    <n v="0.12"/>
    <x v="0"/>
  </r>
  <r>
    <n v="125"/>
    <n v="21"/>
    <s v="Male"/>
    <s v="California"/>
    <x v="0"/>
    <x v="1"/>
    <n v="13"/>
    <n v="2093.3000000000002"/>
    <n v="249.97"/>
    <n v="91"/>
    <n v="0.18"/>
    <n v="0.38"/>
    <x v="1"/>
  </r>
  <r>
    <n v="126"/>
    <n v="31"/>
    <s v="Male"/>
    <s v="New York"/>
    <x v="2"/>
    <x v="1"/>
    <n v="4"/>
    <n v="899.79"/>
    <n v="112.74"/>
    <n v="83"/>
    <n v="0.05"/>
    <n v="0.08"/>
    <x v="0"/>
  </r>
  <r>
    <n v="127"/>
    <n v="36"/>
    <s v="Female"/>
    <s v="Texas"/>
    <x v="1"/>
    <x v="0"/>
    <n v="12"/>
    <n v="1090.23"/>
    <n v="31.63"/>
    <n v="271"/>
    <n v="0.48"/>
    <n v="0.13"/>
    <x v="1"/>
  </r>
  <r>
    <n v="128"/>
    <n v="26"/>
    <s v="Female"/>
    <s v="Texas"/>
    <x v="0"/>
    <x v="2"/>
    <n v="16"/>
    <n v="1091.21"/>
    <n v="69.78"/>
    <n v="15"/>
    <n v="0.34"/>
    <n v="0.18"/>
    <x v="1"/>
  </r>
  <r>
    <n v="129"/>
    <n v="33"/>
    <s v="Female"/>
    <s v="Texas"/>
    <x v="2"/>
    <x v="1"/>
    <n v="13"/>
    <n v="1602.06"/>
    <n v="117.29"/>
    <n v="180"/>
    <n v="0.42"/>
    <n v="0.04"/>
    <x v="0"/>
  </r>
  <r>
    <n v="130"/>
    <n v="43"/>
    <s v="Male"/>
    <s v="Texas"/>
    <x v="1"/>
    <x v="1"/>
    <n v="6"/>
    <n v="1806.49"/>
    <n v="188.07"/>
    <n v="364"/>
    <n v="0.44"/>
    <n v="0.1"/>
    <x v="0"/>
  </r>
  <r>
    <n v="131"/>
    <n v="43"/>
    <s v="Male"/>
    <s v="New York"/>
    <x v="1"/>
    <x v="1"/>
    <n v="15"/>
    <n v="1962.19"/>
    <n v="249"/>
    <n v="125"/>
    <n v="0.53"/>
    <n v="0.16"/>
    <x v="1"/>
  </r>
  <r>
    <n v="132"/>
    <n v="49"/>
    <s v="Female"/>
    <s v="Texas"/>
    <x v="1"/>
    <x v="1"/>
    <n v="8"/>
    <n v="69.95"/>
    <n v="158.6"/>
    <n v="227"/>
    <n v="0.33"/>
    <n v="0.15"/>
    <x v="0"/>
  </r>
  <r>
    <n v="133"/>
    <n v="23"/>
    <s v="Male"/>
    <s v="Texas"/>
    <x v="3"/>
    <x v="1"/>
    <n v="5"/>
    <n v="2250.04"/>
    <n v="164.09"/>
    <n v="256"/>
    <n v="0.72"/>
    <n v="0.39"/>
    <x v="1"/>
  </r>
  <r>
    <n v="134"/>
    <n v="28"/>
    <s v="Female"/>
    <s v="Texas"/>
    <x v="3"/>
    <x v="1"/>
    <n v="22"/>
    <n v="2969.7"/>
    <n v="52.63"/>
    <n v="110"/>
    <n v="0.18"/>
    <n v="0.11"/>
    <x v="1"/>
  </r>
  <r>
    <n v="135"/>
    <n v="46"/>
    <s v="Male"/>
    <s v="Texas"/>
    <x v="1"/>
    <x v="0"/>
    <n v="1"/>
    <n v="1172.99"/>
    <n v="72.319999999999993"/>
    <n v="326"/>
    <n v="0.83"/>
    <n v="0.08"/>
    <x v="0"/>
  </r>
  <r>
    <n v="136"/>
    <n v="43"/>
    <s v="Female"/>
    <s v="New York"/>
    <x v="2"/>
    <x v="1"/>
    <n v="15"/>
    <n v="935.07"/>
    <n v="51.81"/>
    <n v="177"/>
    <n v="0.5"/>
    <n v="0.36"/>
    <x v="1"/>
  </r>
  <r>
    <n v="137"/>
    <n v="53"/>
    <s v="Female"/>
    <s v="New York"/>
    <x v="0"/>
    <x v="0"/>
    <n v="23"/>
    <n v="1633.78"/>
    <n v="166.45"/>
    <n v="200"/>
    <n v="0.05"/>
    <n v="0.18"/>
    <x v="1"/>
  </r>
  <r>
    <n v="138"/>
    <n v="35"/>
    <s v="Male"/>
    <s v="New York"/>
    <x v="2"/>
    <x v="1"/>
    <n v="7"/>
    <n v="2418.71"/>
    <n v="112.32"/>
    <n v="236"/>
    <n v="0.28000000000000003"/>
    <n v="0.33"/>
    <x v="0"/>
  </r>
  <r>
    <n v="139"/>
    <n v="26"/>
    <s v="Male"/>
    <s v="California"/>
    <x v="1"/>
    <x v="2"/>
    <n v="2"/>
    <n v="1335.16"/>
    <n v="245.18"/>
    <n v="109"/>
    <n v="0.48"/>
    <n v="0.25"/>
    <x v="0"/>
  </r>
  <r>
    <n v="140"/>
    <n v="45"/>
    <s v="Female"/>
    <s v="New York"/>
    <x v="3"/>
    <x v="0"/>
    <n v="6"/>
    <n v="1162.1500000000001"/>
    <n v="215.65"/>
    <n v="166"/>
    <n v="0.37"/>
    <n v="0.31"/>
    <x v="0"/>
  </r>
  <r>
    <n v="141"/>
    <n v="53"/>
    <s v="Male"/>
    <s v="Florida"/>
    <x v="2"/>
    <x v="1"/>
    <n v="8"/>
    <n v="734.21"/>
    <n v="130.26"/>
    <n v="14"/>
    <n v="0.51"/>
    <n v="0.13"/>
    <x v="1"/>
  </r>
  <r>
    <n v="142"/>
    <n v="35"/>
    <s v="Male"/>
    <s v="Florida"/>
    <x v="2"/>
    <x v="2"/>
    <n v="3"/>
    <n v="2473.83"/>
    <n v="70.2"/>
    <n v="56"/>
    <n v="0.28999999999999998"/>
    <n v="0.06"/>
    <x v="0"/>
  </r>
  <r>
    <n v="143"/>
    <n v="44"/>
    <s v="Male"/>
    <s v="Florida"/>
    <x v="3"/>
    <x v="1"/>
    <n v="20"/>
    <n v="1023.74"/>
    <n v="105.67"/>
    <n v="338"/>
    <n v="0.25"/>
    <n v="0.3"/>
    <x v="0"/>
  </r>
  <r>
    <n v="144"/>
    <n v="40"/>
    <s v="Male"/>
    <s v="Texas"/>
    <x v="3"/>
    <x v="2"/>
    <n v="12"/>
    <n v="2908.4"/>
    <n v="27.36"/>
    <n v="8"/>
    <n v="0.72"/>
    <n v="0.19"/>
    <x v="0"/>
  </r>
  <r>
    <n v="145"/>
    <n v="42"/>
    <s v="Female"/>
    <s v="Florida"/>
    <x v="3"/>
    <x v="1"/>
    <n v="24"/>
    <n v="1843.85"/>
    <n v="160.47"/>
    <n v="34"/>
    <n v="0.26"/>
    <n v="0.22"/>
    <x v="1"/>
  </r>
  <r>
    <n v="146"/>
    <n v="32"/>
    <s v="Female"/>
    <s v="Florida"/>
    <x v="3"/>
    <x v="0"/>
    <n v="5"/>
    <n v="765.83"/>
    <n v="211.71"/>
    <n v="331"/>
    <n v="0.64"/>
    <n v="0.27"/>
    <x v="1"/>
  </r>
  <r>
    <n v="147"/>
    <n v="27"/>
    <s v="Male"/>
    <s v="California"/>
    <x v="2"/>
    <x v="1"/>
    <n v="25"/>
    <n v="1011.17"/>
    <n v="137.6"/>
    <n v="206"/>
    <n v="0.72"/>
    <n v="0.3"/>
    <x v="0"/>
  </r>
  <r>
    <n v="148"/>
    <n v="23"/>
    <s v="Female"/>
    <s v="Florida"/>
    <x v="0"/>
    <x v="2"/>
    <n v="15"/>
    <n v="2917.76"/>
    <n v="52.93"/>
    <n v="346"/>
    <n v="0.53"/>
    <n v="0.11"/>
    <x v="0"/>
  </r>
  <r>
    <n v="149"/>
    <n v="29"/>
    <s v="Male"/>
    <s v="California"/>
    <x v="2"/>
    <x v="0"/>
    <n v="4"/>
    <n v="2679.2"/>
    <n v="36.56"/>
    <n v="180"/>
    <n v="0.41"/>
    <n v="0.15"/>
    <x v="0"/>
  </r>
  <r>
    <n v="150"/>
    <n v="27"/>
    <s v="Female"/>
    <s v="New York"/>
    <x v="3"/>
    <x v="0"/>
    <n v="13"/>
    <n v="2869.95"/>
    <n v="32.72"/>
    <n v="31"/>
    <n v="0.84"/>
    <n v="0.37"/>
    <x v="0"/>
  </r>
  <r>
    <n v="151"/>
    <n v="32"/>
    <s v="Female"/>
    <s v="Texas"/>
    <x v="3"/>
    <x v="2"/>
    <n v="1"/>
    <n v="125.45"/>
    <n v="183.48"/>
    <n v="117"/>
    <n v="0.4"/>
    <n v="0.21"/>
    <x v="0"/>
  </r>
  <r>
    <n v="152"/>
    <n v="60"/>
    <s v="Male"/>
    <s v="California"/>
    <x v="3"/>
    <x v="2"/>
    <n v="21"/>
    <n v="806.82"/>
    <n v="224.84"/>
    <n v="289"/>
    <n v="0.79"/>
    <n v="0.12"/>
    <x v="1"/>
  </r>
  <r>
    <n v="153"/>
    <n v="32"/>
    <s v="Male"/>
    <s v="California"/>
    <x v="2"/>
    <x v="1"/>
    <n v="3"/>
    <n v="2692.88"/>
    <n v="34.43"/>
    <n v="193"/>
    <n v="0.05"/>
    <n v="0.25"/>
    <x v="0"/>
  </r>
  <r>
    <n v="154"/>
    <n v="18"/>
    <s v="Female"/>
    <s v="Texas"/>
    <x v="3"/>
    <x v="0"/>
    <n v="15"/>
    <n v="934.47"/>
    <n v="22.02"/>
    <n v="210"/>
    <n v="0.39"/>
    <n v="0.1"/>
    <x v="0"/>
  </r>
  <r>
    <n v="155"/>
    <n v="49"/>
    <s v="Male"/>
    <s v="Texas"/>
    <x v="3"/>
    <x v="0"/>
    <n v="11"/>
    <n v="1632.51"/>
    <n v="239.88"/>
    <n v="193"/>
    <n v="0.57999999999999996"/>
    <n v="0.31"/>
    <x v="0"/>
  </r>
  <r>
    <n v="156"/>
    <n v="55"/>
    <s v="Male"/>
    <s v="Florida"/>
    <x v="3"/>
    <x v="1"/>
    <n v="11"/>
    <n v="971.63"/>
    <n v="60.54"/>
    <n v="337"/>
    <n v="0.04"/>
    <n v="0.02"/>
    <x v="1"/>
  </r>
  <r>
    <n v="157"/>
    <n v="29"/>
    <s v="Female"/>
    <s v="Texas"/>
    <x v="3"/>
    <x v="0"/>
    <n v="8"/>
    <n v="1878.98"/>
    <n v="186.69"/>
    <n v="322"/>
    <n v="0.78"/>
    <n v="0.33"/>
    <x v="1"/>
  </r>
  <r>
    <n v="158"/>
    <n v="34"/>
    <s v="Female"/>
    <s v="New York"/>
    <x v="0"/>
    <x v="0"/>
    <n v="16"/>
    <n v="1339.62"/>
    <n v="107.13"/>
    <n v="115"/>
    <n v="0.06"/>
    <n v="0.23"/>
    <x v="1"/>
  </r>
  <r>
    <n v="159"/>
    <n v="36"/>
    <s v="Female"/>
    <s v="California"/>
    <x v="2"/>
    <x v="2"/>
    <n v="4"/>
    <n v="2485.7399999999998"/>
    <n v="20.96"/>
    <n v="16"/>
    <n v="0.54"/>
    <n v="0.14000000000000001"/>
    <x v="0"/>
  </r>
  <r>
    <n v="160"/>
    <n v="18"/>
    <s v="Female"/>
    <s v="Florida"/>
    <x v="3"/>
    <x v="1"/>
    <n v="21"/>
    <n v="2194.9899999999998"/>
    <n v="204.96"/>
    <n v="129"/>
    <n v="0.16"/>
    <n v="0.38"/>
    <x v="0"/>
  </r>
  <r>
    <n v="161"/>
    <n v="27"/>
    <s v="Male"/>
    <s v="California"/>
    <x v="1"/>
    <x v="1"/>
    <n v="12"/>
    <n v="1318.67"/>
    <n v="175.31"/>
    <n v="11"/>
    <n v="0.83"/>
    <n v="0.11"/>
    <x v="1"/>
  </r>
  <r>
    <n v="162"/>
    <n v="44"/>
    <s v="Female"/>
    <s v="California"/>
    <x v="3"/>
    <x v="2"/>
    <n v="5"/>
    <n v="1419.53"/>
    <n v="150.53"/>
    <n v="135"/>
    <n v="0.5"/>
    <n v="0.1"/>
    <x v="1"/>
  </r>
  <r>
    <n v="163"/>
    <n v="52"/>
    <s v="Female"/>
    <s v="Florida"/>
    <x v="2"/>
    <x v="2"/>
    <n v="11"/>
    <n v="170.1"/>
    <n v="127.83"/>
    <n v="364"/>
    <n v="0.72"/>
    <n v="0.03"/>
    <x v="1"/>
  </r>
  <r>
    <n v="164"/>
    <n v="41"/>
    <s v="Male"/>
    <s v="New York"/>
    <x v="2"/>
    <x v="2"/>
    <n v="8"/>
    <n v="2044.87"/>
    <n v="144.83000000000001"/>
    <n v="223"/>
    <n v="0.45"/>
    <n v="0.22"/>
    <x v="1"/>
  </r>
  <r>
    <n v="165"/>
    <n v="57"/>
    <s v="Female"/>
    <s v="New York"/>
    <x v="2"/>
    <x v="2"/>
    <n v="24"/>
    <n v="1386.54"/>
    <n v="138.86000000000001"/>
    <n v="124"/>
    <n v="0.61"/>
    <n v="0.3"/>
    <x v="0"/>
  </r>
  <r>
    <n v="166"/>
    <n v="54"/>
    <s v="Male"/>
    <s v="Florida"/>
    <x v="3"/>
    <x v="1"/>
    <n v="2"/>
    <n v="80.62"/>
    <n v="118.53"/>
    <n v="119"/>
    <n v="0.61"/>
    <n v="0.27"/>
    <x v="1"/>
  </r>
  <r>
    <n v="167"/>
    <n v="38"/>
    <s v="Female"/>
    <s v="Texas"/>
    <x v="3"/>
    <x v="0"/>
    <n v="6"/>
    <n v="251.39"/>
    <n v="142.97999999999999"/>
    <n v="182"/>
    <n v="0.27"/>
    <n v="0.17"/>
    <x v="0"/>
  </r>
  <r>
    <n v="168"/>
    <n v="26"/>
    <s v="Male"/>
    <s v="California"/>
    <x v="3"/>
    <x v="0"/>
    <n v="23"/>
    <n v="726.35"/>
    <n v="163.92"/>
    <n v="105"/>
    <n v="0.19"/>
    <n v="0.32"/>
    <x v="1"/>
  </r>
  <r>
    <n v="169"/>
    <n v="50"/>
    <s v="Male"/>
    <s v="Florida"/>
    <x v="3"/>
    <x v="2"/>
    <n v="15"/>
    <n v="1258.08"/>
    <n v="55.5"/>
    <n v="167"/>
    <n v="0.75"/>
    <n v="0.04"/>
    <x v="1"/>
  </r>
  <r>
    <n v="170"/>
    <n v="57"/>
    <s v="Female"/>
    <s v="New York"/>
    <x v="0"/>
    <x v="0"/>
    <n v="18"/>
    <n v="1527.68"/>
    <n v="112.31"/>
    <n v="218"/>
    <n v="0.13"/>
    <n v="0.12"/>
    <x v="1"/>
  </r>
  <r>
    <n v="171"/>
    <n v="59"/>
    <s v="Female"/>
    <s v="New York"/>
    <x v="1"/>
    <x v="0"/>
    <n v="5"/>
    <n v="1963.18"/>
    <n v="160.09"/>
    <n v="330"/>
    <n v="0.83"/>
    <n v="0.26"/>
    <x v="0"/>
  </r>
  <r>
    <n v="172"/>
    <n v="21"/>
    <s v="Female"/>
    <s v="Texas"/>
    <x v="3"/>
    <x v="0"/>
    <n v="15"/>
    <n v="2788.82"/>
    <n v="38.729999999999997"/>
    <n v="143"/>
    <n v="0.19"/>
    <n v="0.39"/>
    <x v="0"/>
  </r>
  <r>
    <n v="173"/>
    <n v="47"/>
    <s v="Male"/>
    <s v="New York"/>
    <x v="2"/>
    <x v="1"/>
    <n v="5"/>
    <n v="504.95"/>
    <n v="206.23"/>
    <n v="153"/>
    <n v="0.09"/>
    <n v="0.25"/>
    <x v="1"/>
  </r>
  <r>
    <n v="174"/>
    <n v="53"/>
    <s v="Male"/>
    <s v="California"/>
    <x v="3"/>
    <x v="0"/>
    <n v="9"/>
    <n v="605.23"/>
    <n v="186.24"/>
    <n v="256"/>
    <n v="0.09"/>
    <n v="0.28000000000000003"/>
    <x v="0"/>
  </r>
  <r>
    <n v="175"/>
    <n v="43"/>
    <s v="Male"/>
    <s v="New York"/>
    <x v="2"/>
    <x v="2"/>
    <n v="14"/>
    <n v="1292.6099999999999"/>
    <n v="96.25"/>
    <n v="111"/>
    <n v="0.71"/>
    <n v="0.31"/>
    <x v="0"/>
  </r>
  <r>
    <n v="176"/>
    <n v="43"/>
    <s v="Female"/>
    <s v="Florida"/>
    <x v="0"/>
    <x v="0"/>
    <n v="14"/>
    <n v="1234.8399999999999"/>
    <n v="171.44"/>
    <n v="292"/>
    <n v="0.86"/>
    <n v="0.16"/>
    <x v="0"/>
  </r>
  <r>
    <n v="177"/>
    <n v="43"/>
    <s v="Male"/>
    <s v="Florida"/>
    <x v="0"/>
    <x v="0"/>
    <n v="8"/>
    <n v="2313.62"/>
    <n v="149.96"/>
    <n v="81"/>
    <n v="0.37"/>
    <n v="0.38"/>
    <x v="1"/>
  </r>
  <r>
    <n v="178"/>
    <n v="43"/>
    <s v="Female"/>
    <s v="Florida"/>
    <x v="0"/>
    <x v="0"/>
    <n v="5"/>
    <n v="2702.5"/>
    <n v="116.86"/>
    <n v="245"/>
    <n v="0.59"/>
    <n v="0.3"/>
    <x v="1"/>
  </r>
  <r>
    <n v="179"/>
    <n v="24"/>
    <s v="Female"/>
    <s v="California"/>
    <x v="1"/>
    <x v="0"/>
    <n v="1"/>
    <n v="1782.84"/>
    <n v="104.79"/>
    <n v="137"/>
    <n v="0.23"/>
    <n v="0.14000000000000001"/>
    <x v="1"/>
  </r>
  <r>
    <n v="180"/>
    <n v="48"/>
    <s v="Male"/>
    <s v="California"/>
    <x v="0"/>
    <x v="0"/>
    <n v="9"/>
    <n v="2090.16"/>
    <n v="170.99"/>
    <n v="70"/>
    <n v="0.82"/>
    <n v="0.16"/>
    <x v="0"/>
  </r>
  <r>
    <n v="181"/>
    <n v="58"/>
    <s v="Female"/>
    <s v="California"/>
    <x v="3"/>
    <x v="0"/>
    <n v="19"/>
    <n v="2252.08"/>
    <n v="51.48"/>
    <n v="154"/>
    <n v="0.62"/>
    <n v="0.32"/>
    <x v="0"/>
  </r>
  <r>
    <n v="182"/>
    <n v="43"/>
    <s v="Female"/>
    <s v="Florida"/>
    <x v="0"/>
    <x v="2"/>
    <n v="10"/>
    <n v="322.12"/>
    <n v="219.01"/>
    <n v="145"/>
    <n v="0.14000000000000001"/>
    <n v="0.14000000000000001"/>
    <x v="0"/>
  </r>
  <r>
    <n v="183"/>
    <n v="21"/>
    <s v="Female"/>
    <s v="Florida"/>
    <x v="0"/>
    <x v="2"/>
    <n v="11"/>
    <n v="1120.01"/>
    <n v="141.99"/>
    <n v="46"/>
    <n v="0.05"/>
    <n v="7.0000000000000007E-2"/>
    <x v="0"/>
  </r>
  <r>
    <n v="184"/>
    <n v="30"/>
    <s v="Female"/>
    <s v="California"/>
    <x v="0"/>
    <x v="2"/>
    <n v="6"/>
    <n v="1131.6400000000001"/>
    <n v="165.76"/>
    <n v="170"/>
    <n v="0.63"/>
    <n v="0.35"/>
    <x v="0"/>
  </r>
  <r>
    <n v="185"/>
    <n v="22"/>
    <s v="Female"/>
    <s v="New York"/>
    <x v="3"/>
    <x v="0"/>
    <n v="9"/>
    <n v="271.51"/>
    <n v="215.07"/>
    <n v="3"/>
    <n v="0.04"/>
    <n v="0.21"/>
    <x v="1"/>
  </r>
  <r>
    <n v="186"/>
    <n v="31"/>
    <s v="Female"/>
    <s v="Texas"/>
    <x v="0"/>
    <x v="0"/>
    <n v="16"/>
    <n v="966.36"/>
    <n v="71.17"/>
    <n v="249"/>
    <n v="0.75"/>
    <n v="0.21"/>
    <x v="1"/>
  </r>
  <r>
    <n v="187"/>
    <n v="46"/>
    <s v="Female"/>
    <s v="Texas"/>
    <x v="0"/>
    <x v="1"/>
    <n v="4"/>
    <n v="567.98"/>
    <n v="190.13"/>
    <n v="128"/>
    <n v="0.26"/>
    <n v="0.27"/>
    <x v="0"/>
  </r>
  <r>
    <n v="188"/>
    <n v="28"/>
    <s v="Male"/>
    <s v="Texas"/>
    <x v="1"/>
    <x v="0"/>
    <n v="11"/>
    <n v="1984.98"/>
    <n v="179.01"/>
    <n v="83"/>
    <n v="0.21"/>
    <n v="0.36"/>
    <x v="0"/>
  </r>
  <r>
    <n v="189"/>
    <n v="25"/>
    <s v="Female"/>
    <s v="Texas"/>
    <x v="0"/>
    <x v="2"/>
    <n v="15"/>
    <n v="920.02"/>
    <n v="53.79"/>
    <n v="164"/>
    <n v="0.52"/>
    <n v="0.05"/>
    <x v="0"/>
  </r>
  <r>
    <n v="190"/>
    <n v="39"/>
    <s v="Male"/>
    <s v="Texas"/>
    <x v="3"/>
    <x v="2"/>
    <n v="16"/>
    <n v="1062.9000000000001"/>
    <n v="153.19"/>
    <n v="350"/>
    <n v="0.28999999999999998"/>
    <n v="0.14000000000000001"/>
    <x v="1"/>
  </r>
  <r>
    <n v="191"/>
    <n v="56"/>
    <s v="Male"/>
    <s v="Texas"/>
    <x v="1"/>
    <x v="0"/>
    <n v="4"/>
    <n v="2809.41"/>
    <n v="147.62"/>
    <n v="313"/>
    <n v="0.5"/>
    <n v="0.03"/>
    <x v="0"/>
  </r>
  <r>
    <n v="192"/>
    <n v="21"/>
    <s v="Female"/>
    <s v="Texas"/>
    <x v="3"/>
    <x v="2"/>
    <n v="5"/>
    <n v="1551.2"/>
    <n v="236.93"/>
    <n v="306"/>
    <n v="0.14000000000000001"/>
    <n v="0.17"/>
    <x v="0"/>
  </r>
  <r>
    <n v="193"/>
    <n v="24"/>
    <s v="Female"/>
    <s v="California"/>
    <x v="1"/>
    <x v="2"/>
    <n v="17"/>
    <n v="2915.37"/>
    <n v="102.8"/>
    <n v="232"/>
    <n v="0.82"/>
    <n v="0.2"/>
    <x v="1"/>
  </r>
  <r>
    <n v="194"/>
    <n v="18"/>
    <s v="Female"/>
    <s v="Florida"/>
    <x v="3"/>
    <x v="1"/>
    <n v="2"/>
    <n v="1911.75"/>
    <n v="75.25"/>
    <n v="109"/>
    <n v="0.28999999999999998"/>
    <n v="0.34"/>
    <x v="1"/>
  </r>
  <r>
    <n v="195"/>
    <n v="54"/>
    <s v="Male"/>
    <s v="California"/>
    <x v="0"/>
    <x v="2"/>
    <n v="21"/>
    <n v="1595.97"/>
    <n v="121.51"/>
    <n v="297"/>
    <n v="0.76"/>
    <n v="0.27"/>
    <x v="0"/>
  </r>
  <r>
    <n v="196"/>
    <n v="27"/>
    <s v="Male"/>
    <s v="California"/>
    <x v="1"/>
    <x v="0"/>
    <n v="22"/>
    <n v="2457.6799999999998"/>
    <n v="80.05"/>
    <n v="27"/>
    <n v="0.14000000000000001"/>
    <n v="0.23"/>
    <x v="0"/>
  </r>
  <r>
    <n v="197"/>
    <n v="52"/>
    <s v="Female"/>
    <s v="California"/>
    <x v="3"/>
    <x v="2"/>
    <n v="7"/>
    <n v="662.99"/>
    <n v="72.27"/>
    <n v="108"/>
    <n v="0.72"/>
    <n v="0.16"/>
    <x v="0"/>
  </r>
  <r>
    <n v="198"/>
    <n v="24"/>
    <s v="Male"/>
    <s v="California"/>
    <x v="2"/>
    <x v="1"/>
    <n v="18"/>
    <n v="2684.77"/>
    <n v="242.76"/>
    <n v="185"/>
    <n v="0.88"/>
    <n v="0.23"/>
    <x v="0"/>
  </r>
  <r>
    <n v="199"/>
    <n v="41"/>
    <s v="Female"/>
    <s v="California"/>
    <x v="3"/>
    <x v="2"/>
    <n v="16"/>
    <n v="1266.17"/>
    <n v="66.650000000000006"/>
    <n v="24"/>
    <n v="0.35"/>
    <n v="0.11"/>
    <x v="1"/>
  </r>
  <r>
    <n v="200"/>
    <n v="57"/>
    <s v="Female"/>
    <s v="Texas"/>
    <x v="0"/>
    <x v="1"/>
    <n v="10"/>
    <n v="227.5"/>
    <n v="192.46"/>
    <n v="225"/>
    <n v="0.03"/>
    <n v="0.34"/>
    <x v="0"/>
  </r>
  <r>
    <n v="201"/>
    <n v="19"/>
    <s v="Female"/>
    <s v="California"/>
    <x v="2"/>
    <x v="0"/>
    <n v="4"/>
    <n v="1716.61"/>
    <n v="70.89"/>
    <n v="94"/>
    <n v="0.34"/>
    <n v="0.32"/>
    <x v="1"/>
  </r>
  <r>
    <n v="202"/>
    <n v="22"/>
    <s v="Male"/>
    <s v="Texas"/>
    <x v="1"/>
    <x v="0"/>
    <n v="9"/>
    <n v="364.53"/>
    <n v="212.58"/>
    <n v="223"/>
    <n v="0.57999999999999996"/>
    <n v="0.34"/>
    <x v="0"/>
  </r>
  <r>
    <n v="203"/>
    <n v="31"/>
    <s v="Male"/>
    <s v="New York"/>
    <x v="3"/>
    <x v="1"/>
    <n v="25"/>
    <n v="1731.11"/>
    <n v="169.43"/>
    <n v="72"/>
    <n v="0.2"/>
    <n v="0.06"/>
    <x v="1"/>
  </r>
  <r>
    <n v="204"/>
    <n v="57"/>
    <s v="Female"/>
    <s v="Florida"/>
    <x v="2"/>
    <x v="1"/>
    <n v="7"/>
    <n v="1912.39"/>
    <n v="63.13"/>
    <n v="153"/>
    <n v="0.49"/>
    <n v="0.27"/>
    <x v="1"/>
  </r>
  <r>
    <n v="205"/>
    <n v="42"/>
    <s v="Male"/>
    <s v="Texas"/>
    <x v="0"/>
    <x v="2"/>
    <n v="12"/>
    <n v="2182.4499999999998"/>
    <n v="174.15"/>
    <n v="351"/>
    <n v="0.08"/>
    <n v="0.3"/>
    <x v="0"/>
  </r>
  <r>
    <n v="206"/>
    <n v="27"/>
    <s v="Female"/>
    <s v="California"/>
    <x v="3"/>
    <x v="1"/>
    <n v="14"/>
    <n v="2090.63"/>
    <n v="183.09"/>
    <n v="13"/>
    <n v="0.42"/>
    <n v="0.2"/>
    <x v="0"/>
  </r>
  <r>
    <n v="207"/>
    <n v="58"/>
    <s v="Female"/>
    <s v="California"/>
    <x v="3"/>
    <x v="2"/>
    <n v="9"/>
    <n v="81.66"/>
    <n v="72.209999999999994"/>
    <n v="58"/>
    <n v="0.66"/>
    <n v="0.36"/>
    <x v="1"/>
  </r>
  <r>
    <n v="208"/>
    <n v="34"/>
    <s v="Female"/>
    <s v="New York"/>
    <x v="0"/>
    <x v="1"/>
    <n v="8"/>
    <n v="58.2"/>
    <n v="125.38"/>
    <n v="78"/>
    <n v="0.39"/>
    <n v="0.36"/>
    <x v="1"/>
  </r>
  <r>
    <n v="209"/>
    <n v="40"/>
    <s v="Male"/>
    <s v="Florida"/>
    <x v="1"/>
    <x v="2"/>
    <n v="8"/>
    <n v="2146.38"/>
    <n v="144.47999999999999"/>
    <n v="5"/>
    <n v="0.61"/>
    <n v="0.3"/>
    <x v="1"/>
  </r>
  <r>
    <n v="210"/>
    <n v="56"/>
    <s v="Male"/>
    <s v="New York"/>
    <x v="3"/>
    <x v="1"/>
    <n v="4"/>
    <n v="1681.15"/>
    <n v="180.25"/>
    <n v="69"/>
    <n v="0.1"/>
    <n v="0.33"/>
    <x v="1"/>
  </r>
  <r>
    <n v="211"/>
    <n v="41"/>
    <s v="Male"/>
    <s v="New York"/>
    <x v="1"/>
    <x v="0"/>
    <n v="13"/>
    <n v="2755.24"/>
    <n v="189.18"/>
    <n v="155"/>
    <n v="0.75"/>
    <n v="0.26"/>
    <x v="0"/>
  </r>
  <r>
    <n v="212"/>
    <n v="48"/>
    <s v="Female"/>
    <s v="New York"/>
    <x v="2"/>
    <x v="0"/>
    <n v="10"/>
    <n v="1222.82"/>
    <n v="229.13"/>
    <n v="78"/>
    <n v="0.11"/>
    <n v="0.35"/>
    <x v="0"/>
  </r>
  <r>
    <n v="213"/>
    <n v="25"/>
    <s v="Male"/>
    <s v="Florida"/>
    <x v="1"/>
    <x v="0"/>
    <n v="14"/>
    <n v="340.57"/>
    <n v="150.38"/>
    <n v="258"/>
    <n v="0.83"/>
    <n v="0.05"/>
    <x v="0"/>
  </r>
  <r>
    <n v="214"/>
    <n v="25"/>
    <s v="Male"/>
    <s v="California"/>
    <x v="0"/>
    <x v="2"/>
    <n v="6"/>
    <n v="95.55"/>
    <n v="215.85"/>
    <n v="181"/>
    <n v="0.9"/>
    <n v="0.28000000000000003"/>
    <x v="0"/>
  </r>
  <r>
    <n v="215"/>
    <n v="49"/>
    <s v="Female"/>
    <s v="Florida"/>
    <x v="0"/>
    <x v="1"/>
    <n v="2"/>
    <n v="137.12"/>
    <n v="176.28"/>
    <n v="50"/>
    <n v="0.85"/>
    <n v="0.28000000000000003"/>
    <x v="1"/>
  </r>
  <r>
    <n v="216"/>
    <n v="47"/>
    <s v="Female"/>
    <s v="Texas"/>
    <x v="2"/>
    <x v="0"/>
    <n v="24"/>
    <n v="566.82000000000005"/>
    <n v="204.08"/>
    <n v="87"/>
    <n v="0.47"/>
    <n v="0.24"/>
    <x v="1"/>
  </r>
  <r>
    <n v="217"/>
    <n v="48"/>
    <s v="Female"/>
    <s v="New York"/>
    <x v="0"/>
    <x v="0"/>
    <n v="10"/>
    <n v="2318.4499999999998"/>
    <n v="50.89"/>
    <n v="238"/>
    <n v="0.26"/>
    <n v="0.11"/>
    <x v="0"/>
  </r>
  <r>
    <n v="218"/>
    <n v="48"/>
    <s v="Female"/>
    <s v="Texas"/>
    <x v="2"/>
    <x v="2"/>
    <n v="5"/>
    <n v="1722.73"/>
    <n v="135.72"/>
    <n v="350"/>
    <n v="0.31"/>
    <n v="0.03"/>
    <x v="0"/>
  </r>
  <r>
    <n v="219"/>
    <n v="37"/>
    <s v="Male"/>
    <s v="California"/>
    <x v="2"/>
    <x v="2"/>
    <n v="21"/>
    <n v="2619.86"/>
    <n v="136.66"/>
    <n v="204"/>
    <n v="0.68"/>
    <n v="0.24"/>
    <x v="0"/>
  </r>
  <r>
    <n v="220"/>
    <n v="23"/>
    <s v="Male"/>
    <s v="New York"/>
    <x v="1"/>
    <x v="1"/>
    <n v="1"/>
    <n v="2691.92"/>
    <n v="212.87"/>
    <n v="47"/>
    <n v="0.45"/>
    <n v="0.33"/>
    <x v="0"/>
  </r>
  <r>
    <n v="221"/>
    <n v="27"/>
    <s v="Male"/>
    <s v="New York"/>
    <x v="2"/>
    <x v="0"/>
    <n v="15"/>
    <n v="1567.29"/>
    <n v="238.06"/>
    <n v="213"/>
    <n v="0.84"/>
    <n v="0.11"/>
    <x v="1"/>
  </r>
  <r>
    <n v="222"/>
    <n v="24"/>
    <s v="Female"/>
    <s v="California"/>
    <x v="3"/>
    <x v="0"/>
    <n v="17"/>
    <n v="473.97"/>
    <n v="164.12"/>
    <n v="174"/>
    <n v="0.08"/>
    <n v="0.09"/>
    <x v="1"/>
  </r>
  <r>
    <n v="223"/>
    <n v="39"/>
    <s v="Female"/>
    <s v="California"/>
    <x v="3"/>
    <x v="1"/>
    <n v="11"/>
    <n v="635.71"/>
    <n v="240.89"/>
    <n v="329"/>
    <n v="0.44"/>
    <n v="0.09"/>
    <x v="0"/>
  </r>
  <r>
    <n v="224"/>
    <n v="34"/>
    <s v="Male"/>
    <s v="New York"/>
    <x v="1"/>
    <x v="1"/>
    <n v="17"/>
    <n v="1825.14"/>
    <n v="138.49"/>
    <n v="341"/>
    <n v="0.78"/>
    <n v="0.04"/>
    <x v="1"/>
  </r>
  <r>
    <n v="225"/>
    <n v="48"/>
    <s v="Female"/>
    <s v="Texas"/>
    <x v="3"/>
    <x v="2"/>
    <n v="5"/>
    <n v="478.79"/>
    <n v="125.8"/>
    <n v="204"/>
    <n v="0.54"/>
    <n v="0.27"/>
    <x v="1"/>
  </r>
  <r>
    <n v="226"/>
    <n v="28"/>
    <s v="Male"/>
    <s v="California"/>
    <x v="0"/>
    <x v="2"/>
    <n v="15"/>
    <n v="1579.35"/>
    <n v="177.77"/>
    <n v="172"/>
    <n v="0.49"/>
    <n v="0.39"/>
    <x v="0"/>
  </r>
  <r>
    <n v="227"/>
    <n v="51"/>
    <s v="Male"/>
    <s v="Florida"/>
    <x v="0"/>
    <x v="0"/>
    <n v="1"/>
    <n v="1552.99"/>
    <n v="145.19"/>
    <n v="17"/>
    <n v="0.08"/>
    <n v="0.32"/>
    <x v="0"/>
  </r>
  <r>
    <n v="228"/>
    <n v="19"/>
    <s v="Female"/>
    <s v="Texas"/>
    <x v="3"/>
    <x v="1"/>
    <n v="17"/>
    <n v="135.65"/>
    <n v="242.63"/>
    <n v="300"/>
    <n v="0.13"/>
    <n v="0.14000000000000001"/>
    <x v="0"/>
  </r>
  <r>
    <n v="229"/>
    <n v="31"/>
    <s v="Female"/>
    <s v="New York"/>
    <x v="1"/>
    <x v="0"/>
    <n v="10"/>
    <n v="274.58"/>
    <n v="64.08"/>
    <n v="121"/>
    <n v="0.24"/>
    <n v="0.28000000000000003"/>
    <x v="1"/>
  </r>
  <r>
    <n v="230"/>
    <n v="51"/>
    <s v="Male"/>
    <s v="New York"/>
    <x v="1"/>
    <x v="0"/>
    <n v="6"/>
    <n v="2846.12"/>
    <n v="129.27000000000001"/>
    <n v="104"/>
    <n v="0.8"/>
    <n v="0.03"/>
    <x v="1"/>
  </r>
  <r>
    <n v="231"/>
    <n v="41"/>
    <s v="Male"/>
    <s v="Texas"/>
    <x v="3"/>
    <x v="0"/>
    <n v="12"/>
    <n v="1496.76"/>
    <n v="41.42"/>
    <n v="322"/>
    <n v="0.76"/>
    <n v="0.34"/>
    <x v="0"/>
  </r>
  <r>
    <n v="232"/>
    <n v="27"/>
    <s v="Male"/>
    <s v="California"/>
    <x v="1"/>
    <x v="2"/>
    <n v="14"/>
    <n v="1429.18"/>
    <n v="105.87"/>
    <n v="354"/>
    <n v="0.2"/>
    <n v="0.13"/>
    <x v="1"/>
  </r>
  <r>
    <n v="233"/>
    <n v="52"/>
    <s v="Male"/>
    <s v="New York"/>
    <x v="3"/>
    <x v="1"/>
    <n v="2"/>
    <n v="1320.33"/>
    <n v="162.32"/>
    <n v="8"/>
    <n v="0.83"/>
    <n v="0"/>
    <x v="0"/>
  </r>
  <r>
    <n v="234"/>
    <n v="19"/>
    <s v="Male"/>
    <s v="Texas"/>
    <x v="0"/>
    <x v="1"/>
    <n v="14"/>
    <n v="2410.88"/>
    <n v="113"/>
    <n v="20"/>
    <n v="0.03"/>
    <n v="0.25"/>
    <x v="1"/>
  </r>
  <r>
    <n v="235"/>
    <n v="51"/>
    <s v="Male"/>
    <s v="Texas"/>
    <x v="2"/>
    <x v="0"/>
    <n v="7"/>
    <n v="1967.8"/>
    <n v="30.86"/>
    <n v="70"/>
    <n v="0.54"/>
    <n v="0.06"/>
    <x v="1"/>
  </r>
  <r>
    <n v="236"/>
    <n v="37"/>
    <s v="Female"/>
    <s v="California"/>
    <x v="0"/>
    <x v="2"/>
    <n v="9"/>
    <n v="2069.4699999999998"/>
    <n v="29.6"/>
    <n v="259"/>
    <n v="0.87"/>
    <n v="0.11"/>
    <x v="1"/>
  </r>
  <r>
    <n v="237"/>
    <n v="59"/>
    <s v="Female"/>
    <s v="New York"/>
    <x v="0"/>
    <x v="2"/>
    <n v="19"/>
    <n v="1757.59"/>
    <n v="181.44"/>
    <n v="305"/>
    <n v="0.31"/>
    <n v="0.02"/>
    <x v="0"/>
  </r>
  <r>
    <n v="238"/>
    <n v="23"/>
    <s v="Male"/>
    <s v="California"/>
    <x v="1"/>
    <x v="0"/>
    <n v="6"/>
    <n v="474.59"/>
    <n v="239.79"/>
    <n v="119"/>
    <n v="0.85"/>
    <n v="0.18"/>
    <x v="0"/>
  </r>
  <r>
    <n v="239"/>
    <n v="34"/>
    <s v="Female"/>
    <s v="Texas"/>
    <x v="2"/>
    <x v="1"/>
    <n v="5"/>
    <n v="752.88"/>
    <n v="125.73"/>
    <n v="295"/>
    <n v="0.59"/>
    <n v="0.22"/>
    <x v="1"/>
  </r>
  <r>
    <n v="240"/>
    <n v="51"/>
    <s v="Male"/>
    <s v="New York"/>
    <x v="1"/>
    <x v="2"/>
    <n v="6"/>
    <n v="862.57"/>
    <n v="47.72"/>
    <n v="221"/>
    <n v="0.05"/>
    <n v="0.32"/>
    <x v="1"/>
  </r>
  <r>
    <n v="241"/>
    <n v="41"/>
    <s v="Female"/>
    <s v="California"/>
    <x v="2"/>
    <x v="2"/>
    <n v="17"/>
    <n v="147.03"/>
    <n v="51.19"/>
    <n v="358"/>
    <n v="0.3"/>
    <n v="0.02"/>
    <x v="0"/>
  </r>
  <r>
    <n v="242"/>
    <n v="28"/>
    <s v="Male"/>
    <s v="New York"/>
    <x v="1"/>
    <x v="0"/>
    <n v="25"/>
    <n v="1904.66"/>
    <n v="228.96"/>
    <n v="54"/>
    <n v="0.4"/>
    <n v="0.33"/>
    <x v="1"/>
  </r>
  <r>
    <n v="243"/>
    <n v="40"/>
    <s v="Male"/>
    <s v="Texas"/>
    <x v="2"/>
    <x v="2"/>
    <n v="8"/>
    <n v="2585.02"/>
    <n v="40.17"/>
    <n v="11"/>
    <n v="0.22"/>
    <n v="0.04"/>
    <x v="0"/>
  </r>
  <r>
    <n v="244"/>
    <n v="32"/>
    <s v="Female"/>
    <s v="Florida"/>
    <x v="3"/>
    <x v="1"/>
    <n v="23"/>
    <n v="2845.72"/>
    <n v="247.38"/>
    <n v="25"/>
    <n v="0.67"/>
    <n v="0.09"/>
    <x v="1"/>
  </r>
  <r>
    <n v="245"/>
    <n v="52"/>
    <s v="Male"/>
    <s v="Texas"/>
    <x v="0"/>
    <x v="2"/>
    <n v="6"/>
    <n v="235.92"/>
    <n v="66.37"/>
    <n v="163"/>
    <n v="0.16"/>
    <n v="0.25"/>
    <x v="1"/>
  </r>
  <r>
    <n v="246"/>
    <n v="52"/>
    <s v="Male"/>
    <s v="California"/>
    <x v="0"/>
    <x v="2"/>
    <n v="7"/>
    <n v="615.38"/>
    <n v="46.38"/>
    <n v="34"/>
    <n v="0.71"/>
    <n v="0.14000000000000001"/>
    <x v="0"/>
  </r>
  <r>
    <n v="247"/>
    <n v="50"/>
    <s v="Male"/>
    <s v="Texas"/>
    <x v="2"/>
    <x v="0"/>
    <n v="20"/>
    <n v="1890.81"/>
    <n v="187.49"/>
    <n v="57"/>
    <n v="0.27"/>
    <n v="0.13"/>
    <x v="0"/>
  </r>
  <r>
    <n v="248"/>
    <n v="39"/>
    <s v="Female"/>
    <s v="New York"/>
    <x v="1"/>
    <x v="0"/>
    <n v="3"/>
    <n v="107.67"/>
    <n v="101.57"/>
    <n v="62"/>
    <n v="0.06"/>
    <n v="0.23"/>
    <x v="1"/>
  </r>
  <r>
    <n v="249"/>
    <n v="58"/>
    <s v="Female"/>
    <s v="California"/>
    <x v="0"/>
    <x v="2"/>
    <n v="3"/>
    <n v="699.14"/>
    <n v="104.41"/>
    <n v="250"/>
    <n v="0.5"/>
    <n v="0.09"/>
    <x v="1"/>
  </r>
  <r>
    <n v="250"/>
    <n v="32"/>
    <s v="Female"/>
    <s v="New York"/>
    <x v="2"/>
    <x v="2"/>
    <n v="20"/>
    <n v="1218.18"/>
    <n v="213.54"/>
    <n v="70"/>
    <n v="0.09"/>
    <n v="0.32"/>
    <x v="0"/>
  </r>
  <r>
    <n v="251"/>
    <n v="57"/>
    <s v="Female"/>
    <s v="Florida"/>
    <x v="1"/>
    <x v="2"/>
    <n v="24"/>
    <n v="2303.96"/>
    <n v="204.95"/>
    <n v="270"/>
    <n v="0.5"/>
    <n v="0.08"/>
    <x v="0"/>
  </r>
  <r>
    <n v="252"/>
    <n v="30"/>
    <s v="Female"/>
    <s v="Florida"/>
    <x v="1"/>
    <x v="2"/>
    <n v="16"/>
    <n v="179.57"/>
    <n v="189.3"/>
    <n v="220"/>
    <n v="0.71"/>
    <n v="0.34"/>
    <x v="0"/>
  </r>
  <r>
    <n v="253"/>
    <n v="33"/>
    <s v="Male"/>
    <s v="New York"/>
    <x v="0"/>
    <x v="2"/>
    <n v="25"/>
    <n v="211.02"/>
    <n v="22.68"/>
    <n v="2"/>
    <n v="0.54"/>
    <n v="0.32"/>
    <x v="0"/>
  </r>
  <r>
    <n v="254"/>
    <n v="43"/>
    <s v="Male"/>
    <s v="Florida"/>
    <x v="2"/>
    <x v="1"/>
    <n v="9"/>
    <n v="752.96"/>
    <n v="78.790000000000006"/>
    <n v="92"/>
    <n v="0.42"/>
    <n v="0.21"/>
    <x v="1"/>
  </r>
  <r>
    <n v="255"/>
    <n v="32"/>
    <s v="Female"/>
    <s v="New York"/>
    <x v="2"/>
    <x v="2"/>
    <n v="6"/>
    <n v="707.55"/>
    <n v="75.040000000000006"/>
    <n v="115"/>
    <n v="0.03"/>
    <n v="0.01"/>
    <x v="1"/>
  </r>
  <r>
    <n v="256"/>
    <n v="30"/>
    <s v="Male"/>
    <s v="Florida"/>
    <x v="0"/>
    <x v="1"/>
    <n v="7"/>
    <n v="520.24"/>
    <n v="138.03"/>
    <n v="351"/>
    <n v="0.46"/>
    <n v="0.31"/>
    <x v="1"/>
  </r>
  <r>
    <n v="257"/>
    <n v="51"/>
    <s v="Female"/>
    <s v="California"/>
    <x v="1"/>
    <x v="0"/>
    <n v="5"/>
    <n v="1781.64"/>
    <n v="140.68"/>
    <n v="277"/>
    <n v="0.09"/>
    <n v="0.01"/>
    <x v="1"/>
  </r>
  <r>
    <n v="258"/>
    <n v="49"/>
    <s v="Male"/>
    <s v="New York"/>
    <x v="2"/>
    <x v="0"/>
    <n v="20"/>
    <n v="561.91999999999996"/>
    <n v="102.1"/>
    <n v="76"/>
    <n v="0.57999999999999996"/>
    <n v="0.2"/>
    <x v="0"/>
  </r>
  <r>
    <n v="259"/>
    <n v="40"/>
    <s v="Female"/>
    <s v="California"/>
    <x v="2"/>
    <x v="2"/>
    <n v="22"/>
    <n v="68.180000000000007"/>
    <n v="132.47"/>
    <n v="325"/>
    <n v="0.12"/>
    <n v="0.17"/>
    <x v="1"/>
  </r>
  <r>
    <n v="260"/>
    <n v="19"/>
    <s v="Male"/>
    <s v="Florida"/>
    <x v="0"/>
    <x v="1"/>
    <n v="23"/>
    <n v="2607.61"/>
    <n v="207.81"/>
    <n v="280"/>
    <n v="0.52"/>
    <n v="0.03"/>
    <x v="0"/>
  </r>
  <r>
    <n v="261"/>
    <n v="19"/>
    <s v="Male"/>
    <s v="Texas"/>
    <x v="0"/>
    <x v="0"/>
    <n v="21"/>
    <n v="1393.56"/>
    <n v="101.29"/>
    <n v="257"/>
    <n v="0.32"/>
    <n v="0.25"/>
    <x v="0"/>
  </r>
  <r>
    <n v="262"/>
    <n v="35"/>
    <s v="Male"/>
    <s v="Florida"/>
    <x v="2"/>
    <x v="0"/>
    <n v="7"/>
    <n v="1284.21"/>
    <n v="101.82"/>
    <n v="58"/>
    <n v="0.34"/>
    <n v="0.28999999999999998"/>
    <x v="0"/>
  </r>
  <r>
    <n v="263"/>
    <n v="48"/>
    <s v="Female"/>
    <s v="Texas"/>
    <x v="2"/>
    <x v="2"/>
    <n v="19"/>
    <n v="793.3"/>
    <n v="95.29"/>
    <n v="272"/>
    <n v="0.6"/>
    <n v="0.23"/>
    <x v="1"/>
  </r>
  <r>
    <n v="264"/>
    <n v="34"/>
    <s v="Female"/>
    <s v="Texas"/>
    <x v="2"/>
    <x v="2"/>
    <n v="10"/>
    <n v="2666.16"/>
    <n v="158.69999999999999"/>
    <n v="182"/>
    <n v="0.15"/>
    <n v="0.16"/>
    <x v="0"/>
  </r>
  <r>
    <n v="265"/>
    <n v="30"/>
    <s v="Female"/>
    <s v="Florida"/>
    <x v="0"/>
    <x v="1"/>
    <n v="7"/>
    <n v="2939.65"/>
    <n v="27.85"/>
    <n v="255"/>
    <n v="0.15"/>
    <n v="0.2"/>
    <x v="1"/>
  </r>
  <r>
    <n v="266"/>
    <n v="56"/>
    <s v="Male"/>
    <s v="New York"/>
    <x v="0"/>
    <x v="0"/>
    <n v="1"/>
    <n v="249.2"/>
    <n v="229.35"/>
    <n v="40"/>
    <n v="0.85"/>
    <n v="0.24"/>
    <x v="0"/>
  </r>
  <r>
    <n v="267"/>
    <n v="40"/>
    <s v="Male"/>
    <s v="Texas"/>
    <x v="2"/>
    <x v="0"/>
    <n v="3"/>
    <n v="2047.98"/>
    <n v="75.760000000000005"/>
    <n v="179"/>
    <n v="0.3"/>
    <n v="0.09"/>
    <x v="0"/>
  </r>
  <r>
    <n v="268"/>
    <n v="46"/>
    <s v="Male"/>
    <s v="Texas"/>
    <x v="2"/>
    <x v="0"/>
    <n v="23"/>
    <n v="2040.98"/>
    <n v="101.5"/>
    <n v="111"/>
    <n v="0.76"/>
    <n v="0.35"/>
    <x v="1"/>
  </r>
  <r>
    <n v="269"/>
    <n v="40"/>
    <s v="Male"/>
    <s v="Florida"/>
    <x v="0"/>
    <x v="2"/>
    <n v="24"/>
    <n v="1775.22"/>
    <n v="179.6"/>
    <n v="115"/>
    <n v="0.79"/>
    <n v="0.4"/>
    <x v="0"/>
  </r>
  <r>
    <n v="270"/>
    <n v="41"/>
    <s v="Female"/>
    <s v="Florida"/>
    <x v="2"/>
    <x v="0"/>
    <n v="17"/>
    <n v="1269.81"/>
    <n v="24.9"/>
    <n v="38"/>
    <n v="0.43"/>
    <n v="0.32"/>
    <x v="0"/>
  </r>
  <r>
    <n v="271"/>
    <n v="23"/>
    <s v="Male"/>
    <s v="New York"/>
    <x v="0"/>
    <x v="2"/>
    <n v="14"/>
    <n v="1225.8599999999999"/>
    <n v="247.41"/>
    <n v="140"/>
    <n v="0.13"/>
    <n v="0.38"/>
    <x v="0"/>
  </r>
  <r>
    <n v="272"/>
    <n v="32"/>
    <s v="Male"/>
    <s v="Texas"/>
    <x v="3"/>
    <x v="1"/>
    <n v="24"/>
    <n v="2149.73"/>
    <n v="121.17"/>
    <n v="361"/>
    <n v="0.08"/>
    <n v="0.13"/>
    <x v="1"/>
  </r>
  <r>
    <n v="273"/>
    <n v="24"/>
    <s v="Male"/>
    <s v="California"/>
    <x v="2"/>
    <x v="0"/>
    <n v="2"/>
    <n v="116.16"/>
    <n v="201.97"/>
    <n v="91"/>
    <n v="0.79"/>
    <n v="0.39"/>
    <x v="0"/>
  </r>
  <r>
    <n v="274"/>
    <n v="32"/>
    <s v="Male"/>
    <s v="Florida"/>
    <x v="3"/>
    <x v="0"/>
    <n v="17"/>
    <n v="2611.23"/>
    <n v="132.25"/>
    <n v="8"/>
    <n v="0.11"/>
    <n v="0.03"/>
    <x v="0"/>
  </r>
  <r>
    <n v="275"/>
    <n v="48"/>
    <s v="Female"/>
    <s v="Florida"/>
    <x v="2"/>
    <x v="0"/>
    <n v="12"/>
    <n v="308.02"/>
    <n v="36.96"/>
    <n v="136"/>
    <n v="0.45"/>
    <n v="0.19"/>
    <x v="0"/>
  </r>
  <r>
    <n v="276"/>
    <n v="30"/>
    <s v="Male"/>
    <s v="California"/>
    <x v="1"/>
    <x v="1"/>
    <n v="11"/>
    <n v="551.28"/>
    <n v="79.44"/>
    <n v="138"/>
    <n v="0.48"/>
    <n v="0.05"/>
    <x v="1"/>
  </r>
  <r>
    <n v="277"/>
    <n v="39"/>
    <s v="Female"/>
    <s v="New York"/>
    <x v="2"/>
    <x v="1"/>
    <n v="10"/>
    <n v="1168.08"/>
    <n v="54.56"/>
    <n v="36"/>
    <n v="0.11"/>
    <n v="0.18"/>
    <x v="1"/>
  </r>
  <r>
    <n v="278"/>
    <n v="31"/>
    <s v="Male"/>
    <s v="Florida"/>
    <x v="2"/>
    <x v="0"/>
    <n v="21"/>
    <n v="72.510000000000005"/>
    <n v="234.15"/>
    <n v="23"/>
    <n v="0.42"/>
    <n v="0.27"/>
    <x v="1"/>
  </r>
  <r>
    <n v="279"/>
    <n v="48"/>
    <s v="Male"/>
    <s v="California"/>
    <x v="0"/>
    <x v="1"/>
    <n v="16"/>
    <n v="2652.79"/>
    <n v="220.96"/>
    <n v="101"/>
    <n v="0.15"/>
    <n v="0.28000000000000003"/>
    <x v="1"/>
  </r>
  <r>
    <n v="280"/>
    <n v="57"/>
    <s v="Male"/>
    <s v="Florida"/>
    <x v="0"/>
    <x v="2"/>
    <n v="3"/>
    <n v="1218.28"/>
    <n v="174"/>
    <n v="261"/>
    <n v="0.48"/>
    <n v="0.18"/>
    <x v="0"/>
  </r>
  <r>
    <n v="281"/>
    <n v="57"/>
    <s v="Female"/>
    <s v="New York"/>
    <x v="1"/>
    <x v="0"/>
    <n v="1"/>
    <n v="1120.6600000000001"/>
    <n v="212.33"/>
    <n v="25"/>
    <n v="0.46"/>
    <n v="0.14000000000000001"/>
    <x v="0"/>
  </r>
  <r>
    <n v="282"/>
    <n v="18"/>
    <s v="Female"/>
    <s v="New York"/>
    <x v="0"/>
    <x v="2"/>
    <n v="14"/>
    <n v="1038.29"/>
    <n v="155.31"/>
    <n v="209"/>
    <n v="0.33"/>
    <n v="0.08"/>
    <x v="1"/>
  </r>
  <r>
    <n v="283"/>
    <n v="48"/>
    <s v="Female"/>
    <s v="Florida"/>
    <x v="2"/>
    <x v="2"/>
    <n v="25"/>
    <n v="2620.88"/>
    <n v="77.56"/>
    <n v="285"/>
    <n v="0.18"/>
    <n v="0.16"/>
    <x v="1"/>
  </r>
  <r>
    <n v="284"/>
    <n v="59"/>
    <s v="Male"/>
    <s v="Texas"/>
    <x v="3"/>
    <x v="2"/>
    <n v="16"/>
    <n v="1040.8499999999999"/>
    <n v="249.37"/>
    <n v="186"/>
    <n v="0.36"/>
    <n v="0.11"/>
    <x v="0"/>
  </r>
  <r>
    <n v="285"/>
    <n v="40"/>
    <s v="Male"/>
    <s v="Florida"/>
    <x v="3"/>
    <x v="2"/>
    <n v="5"/>
    <n v="1971.28"/>
    <n v="195.13"/>
    <n v="137"/>
    <n v="0.18"/>
    <n v="0.08"/>
    <x v="0"/>
  </r>
  <r>
    <n v="286"/>
    <n v="59"/>
    <s v="Male"/>
    <s v="California"/>
    <x v="0"/>
    <x v="0"/>
    <n v="22"/>
    <n v="2885.62"/>
    <n v="81.8"/>
    <n v="6"/>
    <n v="0.11"/>
    <n v="0.28999999999999998"/>
    <x v="1"/>
  </r>
  <r>
    <n v="287"/>
    <n v="23"/>
    <s v="Female"/>
    <s v="California"/>
    <x v="2"/>
    <x v="0"/>
    <n v="9"/>
    <n v="1295.72"/>
    <n v="122.14"/>
    <n v="167"/>
    <n v="0.22"/>
    <n v="0.21"/>
    <x v="1"/>
  </r>
  <r>
    <n v="288"/>
    <n v="60"/>
    <s v="Male"/>
    <s v="New York"/>
    <x v="1"/>
    <x v="0"/>
    <n v="8"/>
    <n v="2743.33"/>
    <n v="25.69"/>
    <n v="353"/>
    <n v="0.78"/>
    <n v="0.18"/>
    <x v="0"/>
  </r>
  <r>
    <n v="289"/>
    <n v="25"/>
    <s v="Male"/>
    <s v="New York"/>
    <x v="1"/>
    <x v="2"/>
    <n v="6"/>
    <n v="1683.83"/>
    <n v="248.73"/>
    <n v="22"/>
    <n v="0.45"/>
    <n v="0.08"/>
    <x v="0"/>
  </r>
  <r>
    <n v="290"/>
    <n v="42"/>
    <s v="Female"/>
    <s v="California"/>
    <x v="3"/>
    <x v="1"/>
    <n v="19"/>
    <n v="1192.72"/>
    <n v="132.05000000000001"/>
    <n v="335"/>
    <n v="0.8"/>
    <n v="0.28000000000000003"/>
    <x v="1"/>
  </r>
  <r>
    <n v="291"/>
    <n v="30"/>
    <s v="Male"/>
    <s v="Florida"/>
    <x v="3"/>
    <x v="1"/>
    <n v="12"/>
    <n v="1427.69"/>
    <n v="131.31"/>
    <n v="233"/>
    <n v="0.01"/>
    <n v="0.08"/>
    <x v="1"/>
  </r>
  <r>
    <n v="292"/>
    <n v="48"/>
    <s v="Male"/>
    <s v="New York"/>
    <x v="1"/>
    <x v="1"/>
    <n v="2"/>
    <n v="1066.21"/>
    <n v="27.28"/>
    <n v="279"/>
    <n v="0.85"/>
    <n v="0.11"/>
    <x v="1"/>
  </r>
  <r>
    <n v="293"/>
    <n v="29"/>
    <s v="Male"/>
    <s v="Texas"/>
    <x v="1"/>
    <x v="0"/>
    <n v="6"/>
    <n v="1334.95"/>
    <n v="212.55"/>
    <n v="145"/>
    <n v="0.44"/>
    <n v="0.22"/>
    <x v="0"/>
  </r>
  <r>
    <n v="294"/>
    <n v="45"/>
    <s v="Female"/>
    <s v="California"/>
    <x v="2"/>
    <x v="0"/>
    <n v="23"/>
    <n v="873.44"/>
    <n v="37.159999999999997"/>
    <n v="281"/>
    <n v="0.71"/>
    <n v="0.28000000000000003"/>
    <x v="0"/>
  </r>
  <r>
    <n v="295"/>
    <n v="58"/>
    <s v="Male"/>
    <s v="California"/>
    <x v="0"/>
    <x v="2"/>
    <n v="12"/>
    <n v="124.59"/>
    <n v="162.69999999999999"/>
    <n v="170"/>
    <n v="0.51"/>
    <n v="0.39"/>
    <x v="0"/>
  </r>
  <r>
    <n v="296"/>
    <n v="39"/>
    <s v="Female"/>
    <s v="Texas"/>
    <x v="1"/>
    <x v="1"/>
    <n v="19"/>
    <n v="2424.37"/>
    <n v="168.28"/>
    <n v="354"/>
    <n v="0.62"/>
    <n v="0.3"/>
    <x v="1"/>
  </r>
  <r>
    <n v="297"/>
    <n v="23"/>
    <s v="Female"/>
    <s v="Texas"/>
    <x v="3"/>
    <x v="0"/>
    <n v="20"/>
    <n v="763.31"/>
    <n v="157.99"/>
    <n v="211"/>
    <n v="0.21"/>
    <n v="0.38"/>
    <x v="0"/>
  </r>
  <r>
    <n v="298"/>
    <n v="43"/>
    <s v="Male"/>
    <s v="California"/>
    <x v="2"/>
    <x v="2"/>
    <n v="1"/>
    <n v="433.1"/>
    <n v="213.88"/>
    <n v="138"/>
    <n v="0.68"/>
    <n v="0.37"/>
    <x v="0"/>
  </r>
  <r>
    <n v="299"/>
    <n v="47"/>
    <s v="Female"/>
    <s v="California"/>
    <x v="0"/>
    <x v="1"/>
    <n v="12"/>
    <n v="629.07000000000005"/>
    <n v="242.53"/>
    <n v="205"/>
    <n v="0.14000000000000001"/>
    <n v="0.28999999999999998"/>
    <x v="1"/>
  </r>
  <r>
    <n v="300"/>
    <n v="43"/>
    <s v="Female"/>
    <s v="New York"/>
    <x v="1"/>
    <x v="1"/>
    <n v="17"/>
    <n v="1657.36"/>
    <n v="179.37"/>
    <n v="217"/>
    <n v="0.24"/>
    <n v="0.28999999999999998"/>
    <x v="0"/>
  </r>
  <r>
    <n v="301"/>
    <n v="23"/>
    <s v="Male"/>
    <s v="New York"/>
    <x v="3"/>
    <x v="0"/>
    <n v="15"/>
    <n v="2373.0100000000002"/>
    <n v="123.18"/>
    <n v="163"/>
    <n v="0.03"/>
    <n v="0.03"/>
    <x v="1"/>
  </r>
  <r>
    <n v="302"/>
    <n v="28"/>
    <s v="Male"/>
    <s v="Florida"/>
    <x v="2"/>
    <x v="0"/>
    <n v="17"/>
    <n v="1687.18"/>
    <n v="72.72"/>
    <n v="277"/>
    <n v="0.35"/>
    <n v="0.08"/>
    <x v="0"/>
  </r>
  <r>
    <n v="303"/>
    <n v="28"/>
    <s v="Male"/>
    <s v="Florida"/>
    <x v="1"/>
    <x v="1"/>
    <n v="3"/>
    <n v="1427.81"/>
    <n v="240.32"/>
    <n v="215"/>
    <n v="0.47"/>
    <n v="0.01"/>
    <x v="1"/>
  </r>
  <r>
    <n v="304"/>
    <n v="26"/>
    <s v="Female"/>
    <s v="California"/>
    <x v="1"/>
    <x v="1"/>
    <n v="4"/>
    <n v="2395.0700000000002"/>
    <n v="138.91"/>
    <n v="197"/>
    <n v="0.26"/>
    <n v="0.35"/>
    <x v="1"/>
  </r>
  <r>
    <n v="305"/>
    <n v="19"/>
    <s v="Male"/>
    <s v="Texas"/>
    <x v="2"/>
    <x v="0"/>
    <n v="12"/>
    <n v="758.54"/>
    <n v="103.01"/>
    <n v="78"/>
    <n v="0.8"/>
    <n v="0.28999999999999998"/>
    <x v="0"/>
  </r>
  <r>
    <n v="306"/>
    <n v="27"/>
    <s v="Male"/>
    <s v="California"/>
    <x v="2"/>
    <x v="2"/>
    <n v="23"/>
    <n v="1135.3599999999999"/>
    <n v="141.5"/>
    <n v="199"/>
    <n v="0.08"/>
    <n v="0.25"/>
    <x v="1"/>
  </r>
  <r>
    <n v="307"/>
    <n v="55"/>
    <s v="Female"/>
    <s v="New York"/>
    <x v="2"/>
    <x v="2"/>
    <n v="8"/>
    <n v="688.6"/>
    <n v="91.59"/>
    <n v="198"/>
    <n v="0.52"/>
    <n v="0.11"/>
    <x v="0"/>
  </r>
  <r>
    <n v="308"/>
    <n v="47"/>
    <s v="Male"/>
    <s v="Florida"/>
    <x v="3"/>
    <x v="2"/>
    <n v="11"/>
    <n v="1245.2"/>
    <n v="50.11"/>
    <n v="210"/>
    <n v="0.21"/>
    <n v="0.14000000000000001"/>
    <x v="0"/>
  </r>
  <r>
    <n v="309"/>
    <n v="59"/>
    <s v="Female"/>
    <s v="Texas"/>
    <x v="1"/>
    <x v="1"/>
    <n v="25"/>
    <n v="1906.56"/>
    <n v="163.66"/>
    <n v="74"/>
    <n v="0.54"/>
    <n v="7.0000000000000007E-2"/>
    <x v="0"/>
  </r>
  <r>
    <n v="310"/>
    <n v="27"/>
    <s v="Female"/>
    <s v="New York"/>
    <x v="1"/>
    <x v="0"/>
    <n v="23"/>
    <n v="1763.19"/>
    <n v="68.62"/>
    <n v="326"/>
    <n v="0.71"/>
    <n v="0.25"/>
    <x v="1"/>
  </r>
  <r>
    <n v="311"/>
    <n v="57"/>
    <s v="Female"/>
    <s v="Florida"/>
    <x v="0"/>
    <x v="2"/>
    <n v="13"/>
    <n v="926.9"/>
    <n v="208.41"/>
    <n v="3"/>
    <n v="0.64"/>
    <n v="0.4"/>
    <x v="0"/>
  </r>
  <r>
    <n v="312"/>
    <n v="56"/>
    <s v="Male"/>
    <s v="New York"/>
    <x v="0"/>
    <x v="0"/>
    <n v="19"/>
    <n v="1454.06"/>
    <n v="187.27"/>
    <n v="123"/>
    <n v="0.06"/>
    <n v="0.12"/>
    <x v="1"/>
  </r>
  <r>
    <n v="313"/>
    <n v="48"/>
    <s v="Male"/>
    <s v="California"/>
    <x v="3"/>
    <x v="1"/>
    <n v="25"/>
    <n v="653.11"/>
    <n v="96.21"/>
    <n v="312"/>
    <n v="0.22"/>
    <n v="0.02"/>
    <x v="0"/>
  </r>
  <r>
    <n v="314"/>
    <n v="60"/>
    <s v="Female"/>
    <s v="California"/>
    <x v="1"/>
    <x v="1"/>
    <n v="2"/>
    <n v="2582.25"/>
    <n v="127.73"/>
    <n v="257"/>
    <n v="0.54"/>
    <n v="7.0000000000000007E-2"/>
    <x v="0"/>
  </r>
  <r>
    <n v="315"/>
    <n v="40"/>
    <s v="Male"/>
    <s v="Florida"/>
    <x v="2"/>
    <x v="1"/>
    <n v="10"/>
    <n v="2042.14"/>
    <n v="235.6"/>
    <n v="131"/>
    <n v="0.88"/>
    <n v="0.14000000000000001"/>
    <x v="1"/>
  </r>
  <r>
    <n v="316"/>
    <n v="27"/>
    <s v="Male"/>
    <s v="California"/>
    <x v="1"/>
    <x v="1"/>
    <n v="4"/>
    <n v="2829.16"/>
    <n v="92.3"/>
    <n v="356"/>
    <n v="0.04"/>
    <n v="0.36"/>
    <x v="1"/>
  </r>
  <r>
    <n v="317"/>
    <n v="53"/>
    <s v="Female"/>
    <s v="Florida"/>
    <x v="2"/>
    <x v="1"/>
    <n v="24"/>
    <n v="2993.86"/>
    <n v="97.17"/>
    <n v="313"/>
    <n v="0.56000000000000005"/>
    <n v="0.32"/>
    <x v="0"/>
  </r>
  <r>
    <n v="318"/>
    <n v="53"/>
    <s v="Female"/>
    <s v="California"/>
    <x v="0"/>
    <x v="0"/>
    <n v="16"/>
    <n v="1808.06"/>
    <n v="131.19"/>
    <n v="194"/>
    <n v="0.62"/>
    <n v="0.18"/>
    <x v="0"/>
  </r>
  <r>
    <n v="319"/>
    <n v="26"/>
    <s v="Female"/>
    <s v="California"/>
    <x v="1"/>
    <x v="1"/>
    <n v="15"/>
    <n v="1349.02"/>
    <n v="72.12"/>
    <n v="124"/>
    <n v="0.73"/>
    <n v="0.04"/>
    <x v="1"/>
  </r>
  <r>
    <n v="320"/>
    <n v="19"/>
    <s v="Male"/>
    <s v="New York"/>
    <x v="1"/>
    <x v="1"/>
    <n v="17"/>
    <n v="2970.42"/>
    <n v="77.209999999999994"/>
    <n v="102"/>
    <n v="0.31"/>
    <n v="0.04"/>
    <x v="1"/>
  </r>
  <r>
    <n v="321"/>
    <n v="18"/>
    <s v="Male"/>
    <s v="Florida"/>
    <x v="1"/>
    <x v="1"/>
    <n v="1"/>
    <n v="1627.25"/>
    <n v="221.54"/>
    <n v="340"/>
    <n v="0.73"/>
    <n v="0.06"/>
    <x v="0"/>
  </r>
  <r>
    <n v="322"/>
    <n v="59"/>
    <s v="Male"/>
    <s v="California"/>
    <x v="3"/>
    <x v="2"/>
    <n v="17"/>
    <n v="1242.24"/>
    <n v="159.99"/>
    <n v="60"/>
    <n v="0.42"/>
    <n v="0.31"/>
    <x v="0"/>
  </r>
  <r>
    <n v="323"/>
    <n v="24"/>
    <s v="Male"/>
    <s v="Florida"/>
    <x v="1"/>
    <x v="0"/>
    <n v="18"/>
    <n v="1555.07"/>
    <n v="165.1"/>
    <n v="45"/>
    <n v="0.83"/>
    <n v="0.19"/>
    <x v="1"/>
  </r>
  <r>
    <n v="324"/>
    <n v="51"/>
    <s v="Male"/>
    <s v="Texas"/>
    <x v="2"/>
    <x v="0"/>
    <n v="5"/>
    <n v="420.27"/>
    <n v="187.2"/>
    <n v="318"/>
    <n v="0.01"/>
    <n v="0.4"/>
    <x v="0"/>
  </r>
  <r>
    <n v="325"/>
    <n v="26"/>
    <s v="Male"/>
    <s v="New York"/>
    <x v="0"/>
    <x v="0"/>
    <n v="1"/>
    <n v="2264.5100000000002"/>
    <n v="53.04"/>
    <n v="18"/>
    <n v="0.85"/>
    <n v="0.36"/>
    <x v="0"/>
  </r>
  <r>
    <n v="326"/>
    <n v="45"/>
    <s v="Male"/>
    <s v="California"/>
    <x v="3"/>
    <x v="0"/>
    <n v="8"/>
    <n v="2049.67"/>
    <n v="108.42"/>
    <n v="26"/>
    <n v="0.37"/>
    <n v="0.32"/>
    <x v="0"/>
  </r>
  <r>
    <n v="327"/>
    <n v="30"/>
    <s v="Male"/>
    <s v="California"/>
    <x v="1"/>
    <x v="1"/>
    <n v="3"/>
    <n v="319.83"/>
    <n v="34.6"/>
    <n v="208"/>
    <n v="0.37"/>
    <n v="0.19"/>
    <x v="1"/>
  </r>
  <r>
    <n v="328"/>
    <n v="31"/>
    <s v="Female"/>
    <s v="California"/>
    <x v="1"/>
    <x v="0"/>
    <n v="8"/>
    <n v="2562.98"/>
    <n v="248.01"/>
    <n v="356"/>
    <n v="0.08"/>
    <n v="0.33"/>
    <x v="1"/>
  </r>
  <r>
    <n v="329"/>
    <n v="19"/>
    <s v="Male"/>
    <s v="New York"/>
    <x v="3"/>
    <x v="0"/>
    <n v="20"/>
    <n v="2221.02"/>
    <n v="102.07"/>
    <n v="286"/>
    <n v="0.22"/>
    <n v="0.05"/>
    <x v="0"/>
  </r>
  <r>
    <n v="330"/>
    <n v="34"/>
    <s v="Male"/>
    <s v="New York"/>
    <x v="3"/>
    <x v="2"/>
    <n v="6"/>
    <n v="2306.1999999999998"/>
    <n v="151.91"/>
    <n v="167"/>
    <n v="0.66"/>
    <n v="0.04"/>
    <x v="0"/>
  </r>
  <r>
    <n v="331"/>
    <n v="31"/>
    <s v="Male"/>
    <s v="Texas"/>
    <x v="0"/>
    <x v="2"/>
    <n v="6"/>
    <n v="134.71"/>
    <n v="154.41"/>
    <n v="351"/>
    <n v="0.61"/>
    <n v="0.23"/>
    <x v="1"/>
  </r>
  <r>
    <n v="332"/>
    <n v="36"/>
    <s v="Female"/>
    <s v="New York"/>
    <x v="2"/>
    <x v="0"/>
    <n v="4"/>
    <n v="2168.77"/>
    <n v="51.99"/>
    <n v="331"/>
    <n v="0.14000000000000001"/>
    <n v="0.2"/>
    <x v="1"/>
  </r>
  <r>
    <n v="333"/>
    <n v="50"/>
    <s v="Female"/>
    <s v="Florida"/>
    <x v="2"/>
    <x v="1"/>
    <n v="10"/>
    <n v="477.96"/>
    <n v="180.68"/>
    <n v="227"/>
    <n v="0.31"/>
    <n v="0.08"/>
    <x v="1"/>
  </r>
  <r>
    <n v="334"/>
    <n v="33"/>
    <s v="Female"/>
    <s v="Florida"/>
    <x v="2"/>
    <x v="0"/>
    <n v="9"/>
    <n v="94.25"/>
    <n v="230.46"/>
    <n v="282"/>
    <n v="0.13"/>
    <n v="0.1"/>
    <x v="0"/>
  </r>
  <r>
    <n v="335"/>
    <n v="55"/>
    <s v="Female"/>
    <s v="Texas"/>
    <x v="0"/>
    <x v="1"/>
    <n v="18"/>
    <n v="2146.58"/>
    <n v="227.61"/>
    <n v="343"/>
    <n v="0.18"/>
    <n v="0.01"/>
    <x v="0"/>
  </r>
  <r>
    <n v="336"/>
    <n v="38"/>
    <s v="Female"/>
    <s v="Florida"/>
    <x v="3"/>
    <x v="2"/>
    <n v="1"/>
    <n v="2099.2600000000002"/>
    <n v="41.91"/>
    <n v="162"/>
    <n v="0.2"/>
    <n v="0.36"/>
    <x v="0"/>
  </r>
  <r>
    <n v="337"/>
    <n v="34"/>
    <s v="Male"/>
    <s v="Texas"/>
    <x v="1"/>
    <x v="1"/>
    <n v="1"/>
    <n v="2339.61"/>
    <n v="65.83"/>
    <n v="234"/>
    <n v="0.3"/>
    <n v="0.28000000000000003"/>
    <x v="1"/>
  </r>
  <r>
    <n v="338"/>
    <n v="52"/>
    <s v="Female"/>
    <s v="California"/>
    <x v="2"/>
    <x v="1"/>
    <n v="4"/>
    <n v="733.12"/>
    <n v="118.04"/>
    <n v="296"/>
    <n v="0.88"/>
    <n v="0.38"/>
    <x v="0"/>
  </r>
  <r>
    <n v="339"/>
    <n v="44"/>
    <s v="Male"/>
    <s v="Florida"/>
    <x v="1"/>
    <x v="0"/>
    <n v="23"/>
    <n v="605.53"/>
    <n v="151.51"/>
    <n v="1"/>
    <n v="0.9"/>
    <n v="0.39"/>
    <x v="1"/>
  </r>
  <r>
    <n v="340"/>
    <n v="26"/>
    <s v="Male"/>
    <s v="Florida"/>
    <x v="3"/>
    <x v="1"/>
    <n v="24"/>
    <n v="2679.4"/>
    <n v="42.77"/>
    <n v="243"/>
    <n v="0.71"/>
    <n v="0.17"/>
    <x v="1"/>
  </r>
  <r>
    <n v="341"/>
    <n v="21"/>
    <s v="Male"/>
    <s v="Texas"/>
    <x v="0"/>
    <x v="0"/>
    <n v="7"/>
    <n v="250.84"/>
    <n v="202.14"/>
    <n v="332"/>
    <n v="0.43"/>
    <n v="0.28999999999999998"/>
    <x v="1"/>
  </r>
  <r>
    <n v="342"/>
    <n v="40"/>
    <s v="Male"/>
    <s v="Florida"/>
    <x v="0"/>
    <x v="2"/>
    <n v="9"/>
    <n v="2745.86"/>
    <n v="202.4"/>
    <n v="241"/>
    <n v="0.45"/>
    <n v="0.15"/>
    <x v="0"/>
  </r>
  <r>
    <n v="343"/>
    <n v="47"/>
    <s v="Female"/>
    <s v="Florida"/>
    <x v="1"/>
    <x v="1"/>
    <n v="1"/>
    <n v="2425.2800000000002"/>
    <n v="74.75"/>
    <n v="262"/>
    <n v="0.7"/>
    <n v="0.32"/>
    <x v="1"/>
  </r>
  <r>
    <n v="344"/>
    <n v="60"/>
    <s v="Female"/>
    <s v="California"/>
    <x v="1"/>
    <x v="1"/>
    <n v="20"/>
    <n v="2287.44"/>
    <n v="203.24"/>
    <n v="176"/>
    <n v="0.82"/>
    <n v="0.34"/>
    <x v="0"/>
  </r>
  <r>
    <n v="345"/>
    <n v="55"/>
    <s v="Female"/>
    <s v="New York"/>
    <x v="2"/>
    <x v="0"/>
    <n v="21"/>
    <n v="618.83000000000004"/>
    <n v="52.46"/>
    <n v="304"/>
    <n v="0.68"/>
    <n v="0.05"/>
    <x v="1"/>
  </r>
  <r>
    <n v="346"/>
    <n v="51"/>
    <s v="Female"/>
    <s v="New York"/>
    <x v="2"/>
    <x v="2"/>
    <n v="19"/>
    <n v="2170.2199999999998"/>
    <n v="36.57"/>
    <n v="280"/>
    <n v="0.56999999999999995"/>
    <n v="0.01"/>
    <x v="0"/>
  </r>
  <r>
    <n v="347"/>
    <n v="44"/>
    <s v="Female"/>
    <s v="Florida"/>
    <x v="1"/>
    <x v="1"/>
    <n v="15"/>
    <n v="309.42"/>
    <n v="241.48"/>
    <n v="195"/>
    <n v="0.18"/>
    <n v="0.09"/>
    <x v="1"/>
  </r>
  <r>
    <n v="348"/>
    <n v="50"/>
    <s v="Male"/>
    <s v="Florida"/>
    <x v="3"/>
    <x v="1"/>
    <n v="17"/>
    <n v="901.28"/>
    <n v="98.55"/>
    <n v="121"/>
    <n v="0.56000000000000005"/>
    <n v="0.23"/>
    <x v="1"/>
  </r>
  <r>
    <n v="349"/>
    <n v="26"/>
    <s v="Female"/>
    <s v="California"/>
    <x v="0"/>
    <x v="1"/>
    <n v="8"/>
    <n v="2459.65"/>
    <n v="103.41"/>
    <n v="323"/>
    <n v="0.76"/>
    <n v="0.15"/>
    <x v="0"/>
  </r>
  <r>
    <n v="350"/>
    <n v="52"/>
    <s v="Male"/>
    <s v="Florida"/>
    <x v="3"/>
    <x v="1"/>
    <n v="23"/>
    <n v="1226.97"/>
    <n v="216.24"/>
    <n v="194"/>
    <n v="0.71"/>
    <n v="0"/>
    <x v="1"/>
  </r>
  <r>
    <n v="351"/>
    <n v="27"/>
    <s v="Female"/>
    <s v="Florida"/>
    <x v="0"/>
    <x v="2"/>
    <n v="15"/>
    <n v="1099.9000000000001"/>
    <n v="76.400000000000006"/>
    <n v="182"/>
    <n v="0.08"/>
    <n v="0.33"/>
    <x v="0"/>
  </r>
  <r>
    <n v="352"/>
    <n v="51"/>
    <s v="Male"/>
    <s v="California"/>
    <x v="0"/>
    <x v="0"/>
    <n v="4"/>
    <n v="2540.87"/>
    <n v="220.76"/>
    <n v="365"/>
    <n v="0.65"/>
    <n v="0.31"/>
    <x v="0"/>
  </r>
  <r>
    <n v="353"/>
    <n v="50"/>
    <s v="Male"/>
    <s v="Florida"/>
    <x v="1"/>
    <x v="2"/>
    <n v="12"/>
    <n v="1420.17"/>
    <n v="184.61"/>
    <n v="33"/>
    <n v="0.31"/>
    <n v="0.19"/>
    <x v="0"/>
  </r>
  <r>
    <n v="354"/>
    <n v="19"/>
    <s v="Female"/>
    <s v="Florida"/>
    <x v="1"/>
    <x v="1"/>
    <n v="4"/>
    <n v="1902.7"/>
    <n v="96.92"/>
    <n v="202"/>
    <n v="0.15"/>
    <n v="0.02"/>
    <x v="0"/>
  </r>
  <r>
    <n v="355"/>
    <n v="46"/>
    <s v="Female"/>
    <s v="New York"/>
    <x v="3"/>
    <x v="2"/>
    <n v="23"/>
    <n v="1904.43"/>
    <n v="181.97"/>
    <n v="270"/>
    <n v="0.87"/>
    <n v="0.36"/>
    <x v="1"/>
  </r>
  <r>
    <n v="356"/>
    <n v="29"/>
    <s v="Male"/>
    <s v="New York"/>
    <x v="3"/>
    <x v="0"/>
    <n v="6"/>
    <n v="2596.14"/>
    <n v="174.5"/>
    <n v="137"/>
    <n v="0.61"/>
    <n v="0.21"/>
    <x v="1"/>
  </r>
  <r>
    <n v="357"/>
    <n v="56"/>
    <s v="Male"/>
    <s v="California"/>
    <x v="3"/>
    <x v="2"/>
    <n v="2"/>
    <n v="2813.38"/>
    <n v="223.24"/>
    <n v="314"/>
    <n v="0.67"/>
    <n v="0.03"/>
    <x v="1"/>
  </r>
  <r>
    <n v="358"/>
    <n v="18"/>
    <s v="Male"/>
    <s v="Texas"/>
    <x v="1"/>
    <x v="1"/>
    <n v="9"/>
    <n v="570.36"/>
    <n v="199.99"/>
    <n v="338"/>
    <n v="0.12"/>
    <n v="0.13"/>
    <x v="1"/>
  </r>
  <r>
    <n v="359"/>
    <n v="27"/>
    <s v="Female"/>
    <s v="Florida"/>
    <x v="1"/>
    <x v="0"/>
    <n v="4"/>
    <n v="1131.42"/>
    <n v="135.86000000000001"/>
    <n v="347"/>
    <n v="0.75"/>
    <n v="0.25"/>
    <x v="0"/>
  </r>
  <r>
    <n v="360"/>
    <n v="29"/>
    <s v="Male"/>
    <s v="Texas"/>
    <x v="0"/>
    <x v="0"/>
    <n v="15"/>
    <n v="2408.1999999999998"/>
    <n v="225.67"/>
    <n v="165"/>
    <n v="0.84"/>
    <n v="0.35"/>
    <x v="1"/>
  </r>
  <r>
    <n v="361"/>
    <n v="27"/>
    <s v="Male"/>
    <s v="New York"/>
    <x v="0"/>
    <x v="1"/>
    <n v="16"/>
    <n v="2088.31"/>
    <n v="206.12"/>
    <n v="37"/>
    <n v="0.81"/>
    <n v="0.19"/>
    <x v="0"/>
  </r>
  <r>
    <n v="362"/>
    <n v="48"/>
    <s v="Male"/>
    <s v="Florida"/>
    <x v="3"/>
    <x v="1"/>
    <n v="19"/>
    <n v="2695.98"/>
    <n v="249.23"/>
    <n v="322"/>
    <n v="0.67"/>
    <n v="0.26"/>
    <x v="0"/>
  </r>
  <r>
    <n v="363"/>
    <n v="57"/>
    <s v="Female"/>
    <s v="New York"/>
    <x v="2"/>
    <x v="0"/>
    <n v="17"/>
    <n v="124.53"/>
    <n v="54.69"/>
    <n v="279"/>
    <n v="0.75"/>
    <n v="0.08"/>
    <x v="1"/>
  </r>
  <r>
    <n v="364"/>
    <n v="25"/>
    <s v="Male"/>
    <s v="New York"/>
    <x v="0"/>
    <x v="2"/>
    <n v="25"/>
    <n v="2126.17"/>
    <n v="67.23"/>
    <n v="341"/>
    <n v="0.72"/>
    <n v="0.1"/>
    <x v="1"/>
  </r>
  <r>
    <n v="365"/>
    <n v="53"/>
    <s v="Male"/>
    <s v="California"/>
    <x v="1"/>
    <x v="0"/>
    <n v="9"/>
    <n v="1414.62"/>
    <n v="224.42"/>
    <n v="115"/>
    <n v="0.53"/>
    <n v="0.36"/>
    <x v="0"/>
  </r>
  <r>
    <n v="366"/>
    <n v="21"/>
    <s v="Male"/>
    <s v="New York"/>
    <x v="2"/>
    <x v="0"/>
    <n v="4"/>
    <n v="2999.82"/>
    <n v="174.42"/>
    <n v="314"/>
    <n v="0.39"/>
    <n v="0.15"/>
    <x v="0"/>
  </r>
  <r>
    <n v="367"/>
    <n v="38"/>
    <s v="Female"/>
    <s v="Texas"/>
    <x v="1"/>
    <x v="1"/>
    <n v="4"/>
    <n v="1231.55"/>
    <n v="113.15"/>
    <n v="136"/>
    <n v="0.74"/>
    <n v="0.04"/>
    <x v="0"/>
  </r>
  <r>
    <n v="368"/>
    <n v="51"/>
    <s v="Female"/>
    <s v="New York"/>
    <x v="1"/>
    <x v="1"/>
    <n v="4"/>
    <n v="2722.83"/>
    <n v="111.1"/>
    <n v="135"/>
    <n v="0.71"/>
    <n v="0.24"/>
    <x v="1"/>
  </r>
  <r>
    <n v="369"/>
    <n v="51"/>
    <s v="Female"/>
    <s v="New York"/>
    <x v="2"/>
    <x v="2"/>
    <n v="13"/>
    <n v="338.21"/>
    <n v="197.64"/>
    <n v="243"/>
    <n v="0.78"/>
    <n v="0.05"/>
    <x v="0"/>
  </r>
  <r>
    <n v="370"/>
    <n v="53"/>
    <s v="Male"/>
    <s v="Florida"/>
    <x v="2"/>
    <x v="0"/>
    <n v="5"/>
    <n v="909.86"/>
    <n v="233.78"/>
    <n v="179"/>
    <n v="0.27"/>
    <n v="0.08"/>
    <x v="0"/>
  </r>
  <r>
    <n v="371"/>
    <n v="48"/>
    <s v="Female"/>
    <s v="California"/>
    <x v="2"/>
    <x v="2"/>
    <n v="18"/>
    <n v="849.12"/>
    <n v="154.96"/>
    <n v="268"/>
    <n v="0.86"/>
    <n v="0.18"/>
    <x v="0"/>
  </r>
  <r>
    <n v="372"/>
    <n v="24"/>
    <s v="Male"/>
    <s v="New York"/>
    <x v="3"/>
    <x v="1"/>
    <n v="19"/>
    <n v="1846.3"/>
    <n v="53.08"/>
    <n v="302"/>
    <n v="0.48"/>
    <n v="0.23"/>
    <x v="1"/>
  </r>
  <r>
    <n v="373"/>
    <n v="53"/>
    <s v="Male"/>
    <s v="New York"/>
    <x v="2"/>
    <x v="0"/>
    <n v="8"/>
    <n v="696.62"/>
    <n v="185.57"/>
    <n v="245"/>
    <n v="0.85"/>
    <n v="0.25"/>
    <x v="0"/>
  </r>
  <r>
    <n v="374"/>
    <n v="21"/>
    <s v="Male"/>
    <s v="New York"/>
    <x v="1"/>
    <x v="2"/>
    <n v="8"/>
    <n v="2048.38"/>
    <n v="77.989999999999995"/>
    <n v="293"/>
    <n v="0.1"/>
    <n v="0.28000000000000003"/>
    <x v="0"/>
  </r>
  <r>
    <n v="375"/>
    <n v="33"/>
    <s v="Male"/>
    <s v="California"/>
    <x v="2"/>
    <x v="0"/>
    <n v="5"/>
    <n v="1243.75"/>
    <n v="151.54"/>
    <n v="114"/>
    <n v="0.87"/>
    <n v="0.18"/>
    <x v="1"/>
  </r>
  <r>
    <n v="376"/>
    <n v="30"/>
    <s v="Male"/>
    <s v="California"/>
    <x v="2"/>
    <x v="1"/>
    <n v="22"/>
    <n v="1845.16"/>
    <n v="171.54"/>
    <n v="73"/>
    <n v="0.71"/>
    <n v="0.03"/>
    <x v="1"/>
  </r>
  <r>
    <n v="377"/>
    <n v="35"/>
    <s v="Female"/>
    <s v="Florida"/>
    <x v="0"/>
    <x v="1"/>
    <n v="19"/>
    <n v="1320.57"/>
    <n v="242.14"/>
    <n v="34"/>
    <n v="0.23"/>
    <n v="0.28999999999999998"/>
    <x v="1"/>
  </r>
  <r>
    <n v="378"/>
    <n v="20"/>
    <s v="Female"/>
    <s v="Texas"/>
    <x v="1"/>
    <x v="0"/>
    <n v="15"/>
    <n v="2283.0300000000002"/>
    <n v="36.909999999999997"/>
    <n v="271"/>
    <n v="0.75"/>
    <n v="0.02"/>
    <x v="0"/>
  </r>
  <r>
    <n v="379"/>
    <n v="24"/>
    <s v="Female"/>
    <s v="California"/>
    <x v="1"/>
    <x v="2"/>
    <n v="24"/>
    <n v="510.76"/>
    <n v="63.75"/>
    <n v="187"/>
    <n v="0.21"/>
    <n v="0.19"/>
    <x v="0"/>
  </r>
  <r>
    <n v="380"/>
    <n v="50"/>
    <s v="Male"/>
    <s v="California"/>
    <x v="0"/>
    <x v="1"/>
    <n v="13"/>
    <n v="2228.0500000000002"/>
    <n v="232.7"/>
    <n v="269"/>
    <n v="0.18"/>
    <n v="0.16"/>
    <x v="1"/>
  </r>
  <r>
    <n v="381"/>
    <n v="46"/>
    <s v="Male"/>
    <s v="New York"/>
    <x v="2"/>
    <x v="0"/>
    <n v="6"/>
    <n v="1679.42"/>
    <n v="154.53"/>
    <n v="105"/>
    <n v="0.41"/>
    <n v="0.27"/>
    <x v="1"/>
  </r>
  <r>
    <n v="382"/>
    <n v="53"/>
    <s v="Male"/>
    <s v="Texas"/>
    <x v="1"/>
    <x v="2"/>
    <n v="1"/>
    <n v="1906.89"/>
    <n v="89.97"/>
    <n v="271"/>
    <n v="0.21"/>
    <n v="0.28999999999999998"/>
    <x v="0"/>
  </r>
  <r>
    <n v="383"/>
    <n v="19"/>
    <s v="Female"/>
    <s v="Texas"/>
    <x v="0"/>
    <x v="1"/>
    <n v="21"/>
    <n v="2827.59"/>
    <n v="101.3"/>
    <n v="87"/>
    <n v="0.44"/>
    <n v="0.1"/>
    <x v="0"/>
  </r>
  <r>
    <n v="384"/>
    <n v="22"/>
    <s v="Female"/>
    <s v="California"/>
    <x v="2"/>
    <x v="1"/>
    <n v="13"/>
    <n v="1715.42"/>
    <n v="127.61"/>
    <n v="188"/>
    <n v="0.82"/>
    <n v="0.26"/>
    <x v="1"/>
  </r>
  <r>
    <n v="385"/>
    <n v="46"/>
    <s v="Male"/>
    <s v="Texas"/>
    <x v="0"/>
    <x v="0"/>
    <n v="23"/>
    <n v="721.58"/>
    <n v="243.23"/>
    <n v="123"/>
    <n v="0.62"/>
    <n v="0.28000000000000003"/>
    <x v="0"/>
  </r>
  <r>
    <n v="386"/>
    <n v="38"/>
    <s v="Male"/>
    <s v="Texas"/>
    <x v="1"/>
    <x v="2"/>
    <n v="14"/>
    <n v="1518.78"/>
    <n v="178.76"/>
    <n v="345"/>
    <n v="0.64"/>
    <n v="0.19"/>
    <x v="0"/>
  </r>
  <r>
    <n v="387"/>
    <n v="57"/>
    <s v="Male"/>
    <s v="Florida"/>
    <x v="0"/>
    <x v="0"/>
    <n v="20"/>
    <n v="1586.3"/>
    <n v="185.88"/>
    <n v="89"/>
    <n v="0.35"/>
    <n v="0.06"/>
    <x v="1"/>
  </r>
  <r>
    <n v="388"/>
    <n v="50"/>
    <s v="Female"/>
    <s v="California"/>
    <x v="1"/>
    <x v="1"/>
    <n v="20"/>
    <n v="2780.79"/>
    <n v="232.05"/>
    <n v="79"/>
    <n v="0.71"/>
    <n v="0.36"/>
    <x v="0"/>
  </r>
  <r>
    <n v="389"/>
    <n v="56"/>
    <s v="Female"/>
    <s v="Texas"/>
    <x v="2"/>
    <x v="2"/>
    <n v="17"/>
    <n v="2026.89"/>
    <n v="212.88"/>
    <n v="339"/>
    <n v="0.71"/>
    <n v="0.24"/>
    <x v="1"/>
  </r>
  <r>
    <n v="390"/>
    <n v="50"/>
    <s v="Female"/>
    <s v="Florida"/>
    <x v="1"/>
    <x v="2"/>
    <n v="2"/>
    <n v="1747.06"/>
    <n v="93.43"/>
    <n v="236"/>
    <n v="0.61"/>
    <n v="0.03"/>
    <x v="0"/>
  </r>
  <r>
    <n v="391"/>
    <n v="30"/>
    <s v="Female"/>
    <s v="California"/>
    <x v="3"/>
    <x v="1"/>
    <n v="13"/>
    <n v="2810.24"/>
    <n v="60.3"/>
    <n v="91"/>
    <n v="0.85"/>
    <n v="0.1"/>
    <x v="0"/>
  </r>
  <r>
    <n v="392"/>
    <n v="35"/>
    <s v="Female"/>
    <s v="Texas"/>
    <x v="0"/>
    <x v="0"/>
    <n v="2"/>
    <n v="380.02"/>
    <n v="226.48"/>
    <n v="328"/>
    <n v="0.74"/>
    <n v="0.39"/>
    <x v="1"/>
  </r>
  <r>
    <n v="393"/>
    <n v="46"/>
    <s v="Female"/>
    <s v="California"/>
    <x v="0"/>
    <x v="0"/>
    <n v="25"/>
    <n v="2302.9299999999998"/>
    <n v="145.69"/>
    <n v="334"/>
    <n v="0.37"/>
    <n v="0.09"/>
    <x v="0"/>
  </r>
  <r>
    <n v="394"/>
    <n v="50"/>
    <s v="Male"/>
    <s v="Texas"/>
    <x v="2"/>
    <x v="1"/>
    <n v="12"/>
    <n v="1983.49"/>
    <n v="194.45"/>
    <n v="23"/>
    <n v="0.08"/>
    <n v="0.16"/>
    <x v="1"/>
  </r>
  <r>
    <n v="395"/>
    <n v="52"/>
    <s v="Female"/>
    <s v="Texas"/>
    <x v="0"/>
    <x v="0"/>
    <n v="11"/>
    <n v="2708.16"/>
    <n v="164.08"/>
    <n v="165"/>
    <n v="0.59"/>
    <n v="0.32"/>
    <x v="1"/>
  </r>
  <r>
    <n v="396"/>
    <n v="48"/>
    <s v="Female"/>
    <s v="New York"/>
    <x v="0"/>
    <x v="1"/>
    <n v="13"/>
    <n v="2631.58"/>
    <n v="74.489999999999995"/>
    <n v="196"/>
    <n v="0.75"/>
    <n v="0.33"/>
    <x v="0"/>
  </r>
  <r>
    <n v="397"/>
    <n v="50"/>
    <s v="Female"/>
    <s v="California"/>
    <x v="1"/>
    <x v="1"/>
    <n v="8"/>
    <n v="1776.11"/>
    <n v="24.62"/>
    <n v="186"/>
    <n v="0.31"/>
    <n v="0.25"/>
    <x v="1"/>
  </r>
  <r>
    <n v="398"/>
    <n v="33"/>
    <s v="Female"/>
    <s v="California"/>
    <x v="1"/>
    <x v="0"/>
    <n v="11"/>
    <n v="2103.21"/>
    <n v="30.97"/>
    <n v="220"/>
    <n v="0.54"/>
    <n v="0.3"/>
    <x v="0"/>
  </r>
  <r>
    <n v="399"/>
    <n v="51"/>
    <s v="Female"/>
    <s v="Florida"/>
    <x v="1"/>
    <x v="0"/>
    <n v="23"/>
    <n v="2923.68"/>
    <n v="123.02"/>
    <n v="63"/>
    <n v="0.75"/>
    <n v="0.02"/>
    <x v="1"/>
  </r>
  <r>
    <n v="400"/>
    <n v="34"/>
    <s v="Female"/>
    <s v="California"/>
    <x v="3"/>
    <x v="2"/>
    <n v="14"/>
    <n v="2059.15"/>
    <n v="225.35"/>
    <n v="210"/>
    <n v="0.71"/>
    <n v="0.0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2620B-7133-EA40-9F50-04F8862D9FB4}" name="Revenue by Membership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Total Revenu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2DD72-CA5C-9F48-8AAF-E993C0FE6342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Customer Spend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B5AB3-D473-C445-9469-6D0AA846AE4B}" name="Revenue by Product Categor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5A017-E771-5D4D-8E32-47A2AEE9C2BB}" name="Average Spend by Category &amp; Purchase Frequenc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3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g Customer Spend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207FA-736B-B445-B5E3-9BDE6C3C13FE}" name="Average Discount Usage by Frequenc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count Usage Rate" fld="10" subtotal="average" baseField="0" baseItem="0" numFmtId="1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5" type="button" dataOnly="0" labelOnly="1" outline="0" axis="axisRow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5" count="1">
            <x v="0"/>
          </reference>
        </references>
      </pivotArea>
    </format>
    <format dxfId="7">
      <pivotArea collapsedLevelsAreSubtotals="1" fieldPosition="0">
        <references count="1">
          <reference field="5" count="1">
            <x v="1"/>
          </reference>
        </references>
      </pivotArea>
    </format>
    <format dxfId="6">
      <pivotArea collapsedLevelsAreSubtotals="1" fieldPosition="0">
        <references count="1">
          <reference field="5" count="1">
            <x v="2"/>
          </reference>
        </references>
      </pivotArea>
    </format>
    <format dxfId="5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5BD83-E099-8144-A372-50F15260C11C}" name="Customer Spend vs Discount Dependenc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Discount Usage Rate " fld="10" subtotal="average" baseField="0" baseItem="0" numFmtId="10"/>
    <dataField name="Avg Customer Spend" fld="7" subtotal="average" baseField="0" baseItem="0" numFmtId="164"/>
  </dataFields>
  <formats count="5">
    <format dxfId="4">
      <pivotArea collapsedLevelsAreSubtotals="1" fieldPosition="0">
        <references count="2">
          <reference field="4294967294" count="1" selected="0">
            <x v="0"/>
          </reference>
          <reference field="5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5" count="1">
            <x v="2"/>
          </reference>
        </references>
      </pivotArea>
    </format>
    <format dxfId="1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17130-E144-8943-8A9B-C20EBD7BDDA6}" name="Membership_Revenue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Total Revenu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58ED1-6E7A-114F-A654-0CFC012B02E6}" name="Frequency_Spend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Customer Spend" fld="7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BB3F8-8EDA-D840-A0FE-CC849CD46AD1}" name="preferred_category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6B125-8341-9342-B454-5068E1300765}" name="Category_Frequency_Spend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3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g Customer Spend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640-B16F-2C44-92F2-FC84D02F3D7C}">
  <dimension ref="A1:B18"/>
  <sheetViews>
    <sheetView showGridLines="0" tabSelected="1" zoomScaleNormal="100" workbookViewId="0">
      <selection activeCell="U33" sqref="U33"/>
    </sheetView>
  </sheetViews>
  <sheetFormatPr baseColWidth="10" defaultRowHeight="16" x14ac:dyDescent="0.2"/>
  <cols>
    <col min="1" max="1" width="35" customWidth="1"/>
    <col min="2" max="2" width="18.1640625" customWidth="1"/>
  </cols>
  <sheetData>
    <row r="1" spans="1:2" ht="24" x14ac:dyDescent="0.3">
      <c r="A1" s="10" t="s">
        <v>35</v>
      </c>
    </row>
    <row r="3" spans="1:2" ht="19" x14ac:dyDescent="0.25">
      <c r="A3" s="11" t="s">
        <v>30</v>
      </c>
      <c r="B3" s="12">
        <f>GETPIVOTDATA("total_spent",'Category Performance'!$A$3)</f>
        <v>607201.22999999986</v>
      </c>
    </row>
    <row r="4" spans="1:2" ht="19" x14ac:dyDescent="0.25">
      <c r="A4" s="11" t="s">
        <v>36</v>
      </c>
      <c r="B4" s="12">
        <f>GETPIVOTDATA("total_spent",'Spend by Purchase Frequency'!$A$3)</f>
        <v>1518.0030750000003</v>
      </c>
    </row>
    <row r="5" spans="1:2" ht="19" x14ac:dyDescent="0.25">
      <c r="A5" s="11" t="s">
        <v>44</v>
      </c>
      <c r="B5" s="13" t="s">
        <v>15</v>
      </c>
    </row>
    <row r="6" spans="1:2" ht="19" x14ac:dyDescent="0.25">
      <c r="A6" s="11" t="s">
        <v>45</v>
      </c>
      <c r="B6" s="8" t="s">
        <v>43</v>
      </c>
    </row>
    <row r="7" spans="1:2" ht="19" x14ac:dyDescent="0.25">
      <c r="A7" s="11" t="s">
        <v>46</v>
      </c>
      <c r="B7" s="8" t="s">
        <v>37</v>
      </c>
    </row>
    <row r="9" spans="1:2" ht="24" x14ac:dyDescent="0.3">
      <c r="A9" s="10" t="s">
        <v>47</v>
      </c>
    </row>
    <row r="10" spans="1:2" ht="19" x14ac:dyDescent="0.25">
      <c r="A10" s="9" t="s">
        <v>38</v>
      </c>
    </row>
    <row r="12" spans="1:2" ht="19" x14ac:dyDescent="0.25">
      <c r="A12" s="9" t="s">
        <v>39</v>
      </c>
    </row>
    <row r="14" spans="1:2" ht="19" x14ac:dyDescent="0.25">
      <c r="A14" s="9" t="s">
        <v>40</v>
      </c>
    </row>
    <row r="16" spans="1:2" ht="19" x14ac:dyDescent="0.25">
      <c r="A16" s="9" t="s">
        <v>41</v>
      </c>
    </row>
    <row r="18" spans="1:1" ht="19" x14ac:dyDescent="0.25">
      <c r="A18" s="9" t="s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1D47-72B5-4046-B557-A75401F9CE59}">
  <dimension ref="A1:M401"/>
  <sheetViews>
    <sheetView zoomScale="141" zoomScaleNormal="141" workbookViewId="0">
      <selection activeCell="N5" sqref="N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38</v>
      </c>
      <c r="C2" t="s">
        <v>13</v>
      </c>
      <c r="D2" t="s">
        <v>14</v>
      </c>
      <c r="E2" t="s">
        <v>15</v>
      </c>
      <c r="F2" t="s">
        <v>16</v>
      </c>
      <c r="G2">
        <v>7</v>
      </c>
      <c r="H2">
        <v>2536.9299999999998</v>
      </c>
      <c r="I2">
        <v>28.54</v>
      </c>
      <c r="J2">
        <v>145</v>
      </c>
      <c r="K2">
        <v>0.14000000000000001</v>
      </c>
      <c r="L2">
        <v>0</v>
      </c>
      <c r="M2" t="s">
        <v>17</v>
      </c>
    </row>
    <row r="3" spans="1:13" x14ac:dyDescent="0.2">
      <c r="A3">
        <v>2</v>
      </c>
      <c r="B3">
        <v>27</v>
      </c>
      <c r="C3" t="s">
        <v>18</v>
      </c>
      <c r="D3" t="s">
        <v>19</v>
      </c>
      <c r="E3" t="s">
        <v>15</v>
      </c>
      <c r="F3" t="s">
        <v>20</v>
      </c>
      <c r="G3">
        <v>7</v>
      </c>
      <c r="H3">
        <v>1715.05</v>
      </c>
      <c r="I3">
        <v>93.27</v>
      </c>
      <c r="J3">
        <v>257</v>
      </c>
      <c r="K3">
        <v>0.23</v>
      </c>
      <c r="L3">
        <v>0.2</v>
      </c>
      <c r="M3" t="s">
        <v>17</v>
      </c>
    </row>
    <row r="4" spans="1:13" x14ac:dyDescent="0.2">
      <c r="A4">
        <v>3</v>
      </c>
      <c r="B4">
        <v>43</v>
      </c>
      <c r="C4" t="s">
        <v>13</v>
      </c>
      <c r="D4" t="s">
        <v>14</v>
      </c>
      <c r="E4" t="s">
        <v>21</v>
      </c>
      <c r="F4" t="s">
        <v>22</v>
      </c>
      <c r="G4">
        <v>7</v>
      </c>
      <c r="H4">
        <v>2958.19</v>
      </c>
      <c r="I4">
        <v>198.74</v>
      </c>
      <c r="J4">
        <v>332</v>
      </c>
      <c r="K4">
        <v>0.09</v>
      </c>
      <c r="L4">
        <v>0.01</v>
      </c>
      <c r="M4" t="s">
        <v>17</v>
      </c>
    </row>
    <row r="5" spans="1:13" x14ac:dyDescent="0.2">
      <c r="A5">
        <v>4</v>
      </c>
      <c r="B5">
        <v>59</v>
      </c>
      <c r="C5" t="s">
        <v>18</v>
      </c>
      <c r="D5" t="s">
        <v>23</v>
      </c>
      <c r="E5" t="s">
        <v>24</v>
      </c>
      <c r="F5" t="s">
        <v>20</v>
      </c>
      <c r="G5">
        <v>3</v>
      </c>
      <c r="H5">
        <v>995.86</v>
      </c>
      <c r="I5">
        <v>99.5</v>
      </c>
      <c r="J5">
        <v>51</v>
      </c>
      <c r="K5">
        <v>0.32</v>
      </c>
      <c r="L5">
        <v>0.04</v>
      </c>
      <c r="M5" t="s">
        <v>25</v>
      </c>
    </row>
    <row r="6" spans="1:13" x14ac:dyDescent="0.2">
      <c r="A6">
        <v>5</v>
      </c>
      <c r="B6">
        <v>21</v>
      </c>
      <c r="C6" t="s">
        <v>13</v>
      </c>
      <c r="D6" t="s">
        <v>26</v>
      </c>
      <c r="E6" t="s">
        <v>15</v>
      </c>
      <c r="F6" t="s">
        <v>20</v>
      </c>
      <c r="G6">
        <v>6</v>
      </c>
      <c r="H6">
        <v>1231.75</v>
      </c>
      <c r="I6">
        <v>230.14</v>
      </c>
      <c r="J6">
        <v>101</v>
      </c>
      <c r="K6">
        <v>0.72</v>
      </c>
      <c r="L6">
        <v>0.32</v>
      </c>
      <c r="M6" t="s">
        <v>17</v>
      </c>
    </row>
    <row r="7" spans="1:13" x14ac:dyDescent="0.2">
      <c r="A7">
        <v>6</v>
      </c>
      <c r="B7">
        <v>22</v>
      </c>
      <c r="C7" t="s">
        <v>18</v>
      </c>
      <c r="D7" t="s">
        <v>26</v>
      </c>
      <c r="E7" t="s">
        <v>27</v>
      </c>
      <c r="F7" t="s">
        <v>22</v>
      </c>
      <c r="G7">
        <v>23</v>
      </c>
      <c r="H7">
        <v>1705.19</v>
      </c>
      <c r="I7">
        <v>115.96</v>
      </c>
      <c r="J7">
        <v>124</v>
      </c>
      <c r="K7">
        <v>0.47</v>
      </c>
      <c r="L7">
        <v>0.17</v>
      </c>
      <c r="M7" t="s">
        <v>25</v>
      </c>
    </row>
    <row r="8" spans="1:13" x14ac:dyDescent="0.2">
      <c r="A8">
        <v>7</v>
      </c>
      <c r="B8">
        <v>52</v>
      </c>
      <c r="C8" t="s">
        <v>18</v>
      </c>
      <c r="D8" t="s">
        <v>26</v>
      </c>
      <c r="E8" t="s">
        <v>27</v>
      </c>
      <c r="F8" t="s">
        <v>22</v>
      </c>
      <c r="G8">
        <v>10</v>
      </c>
      <c r="H8">
        <v>1008.4</v>
      </c>
      <c r="I8">
        <v>191.1</v>
      </c>
      <c r="J8">
        <v>30</v>
      </c>
      <c r="K8">
        <v>0.41</v>
      </c>
      <c r="L8">
        <v>0.24</v>
      </c>
      <c r="M8" t="s">
        <v>17</v>
      </c>
    </row>
    <row r="9" spans="1:13" x14ac:dyDescent="0.2">
      <c r="A9">
        <v>8</v>
      </c>
      <c r="B9">
        <v>24</v>
      </c>
      <c r="C9" t="s">
        <v>18</v>
      </c>
      <c r="D9" t="s">
        <v>14</v>
      </c>
      <c r="E9" t="s">
        <v>15</v>
      </c>
      <c r="F9" t="s">
        <v>16</v>
      </c>
      <c r="G9">
        <v>12</v>
      </c>
      <c r="H9">
        <v>482.56</v>
      </c>
      <c r="I9">
        <v>249.57</v>
      </c>
      <c r="J9">
        <v>67</v>
      </c>
      <c r="K9">
        <v>0.08</v>
      </c>
      <c r="L9">
        <v>0.18</v>
      </c>
      <c r="M9" t="s">
        <v>17</v>
      </c>
    </row>
    <row r="10" spans="1:13" x14ac:dyDescent="0.2">
      <c r="A10">
        <v>9</v>
      </c>
      <c r="B10">
        <v>41</v>
      </c>
      <c r="C10" t="s">
        <v>13</v>
      </c>
      <c r="D10" t="s">
        <v>19</v>
      </c>
      <c r="E10" t="s">
        <v>21</v>
      </c>
      <c r="F10" t="s">
        <v>20</v>
      </c>
      <c r="G10">
        <v>19</v>
      </c>
      <c r="H10">
        <v>2056.48</v>
      </c>
      <c r="I10">
        <v>161.53</v>
      </c>
      <c r="J10">
        <v>308</v>
      </c>
      <c r="K10">
        <v>0.36</v>
      </c>
      <c r="L10">
        <v>0.13</v>
      </c>
      <c r="M10" t="s">
        <v>17</v>
      </c>
    </row>
    <row r="11" spans="1:13" x14ac:dyDescent="0.2">
      <c r="A11">
        <v>10</v>
      </c>
      <c r="B11">
        <v>55</v>
      </c>
      <c r="C11" t="s">
        <v>13</v>
      </c>
      <c r="D11" t="s">
        <v>23</v>
      </c>
      <c r="E11" t="s">
        <v>27</v>
      </c>
      <c r="F11" t="s">
        <v>22</v>
      </c>
      <c r="G11">
        <v>19</v>
      </c>
      <c r="H11">
        <v>1092.5899999999999</v>
      </c>
      <c r="I11">
        <v>70.78</v>
      </c>
      <c r="J11">
        <v>25</v>
      </c>
      <c r="K11">
        <v>0.9</v>
      </c>
      <c r="L11">
        <v>0.09</v>
      </c>
      <c r="M11" t="s">
        <v>25</v>
      </c>
    </row>
    <row r="12" spans="1:13" x14ac:dyDescent="0.2">
      <c r="A12">
        <v>11</v>
      </c>
      <c r="B12">
        <v>21</v>
      </c>
      <c r="C12" t="s">
        <v>18</v>
      </c>
      <c r="D12" t="s">
        <v>14</v>
      </c>
      <c r="E12" t="s">
        <v>15</v>
      </c>
      <c r="F12" t="s">
        <v>16</v>
      </c>
      <c r="G12">
        <v>12</v>
      </c>
      <c r="H12">
        <v>2617.9699999999998</v>
      </c>
      <c r="I12">
        <v>141.28</v>
      </c>
      <c r="J12">
        <v>41</v>
      </c>
      <c r="K12">
        <v>0.63</v>
      </c>
      <c r="L12">
        <v>0.14000000000000001</v>
      </c>
      <c r="M12" t="s">
        <v>25</v>
      </c>
    </row>
    <row r="13" spans="1:13" x14ac:dyDescent="0.2">
      <c r="A13">
        <v>12</v>
      </c>
      <c r="B13">
        <v>50</v>
      </c>
      <c r="C13" t="s">
        <v>13</v>
      </c>
      <c r="D13" t="s">
        <v>19</v>
      </c>
      <c r="E13" t="s">
        <v>21</v>
      </c>
      <c r="F13" t="s">
        <v>20</v>
      </c>
      <c r="G13">
        <v>13</v>
      </c>
      <c r="H13">
        <v>2006.2</v>
      </c>
      <c r="I13">
        <v>100.28</v>
      </c>
      <c r="J13">
        <v>38</v>
      </c>
      <c r="K13">
        <v>0.4</v>
      </c>
      <c r="L13">
        <v>0.34</v>
      </c>
      <c r="M13" t="s">
        <v>17</v>
      </c>
    </row>
    <row r="14" spans="1:13" x14ac:dyDescent="0.2">
      <c r="A14">
        <v>13</v>
      </c>
      <c r="B14">
        <v>31</v>
      </c>
      <c r="C14" t="s">
        <v>13</v>
      </c>
      <c r="D14" t="s">
        <v>26</v>
      </c>
      <c r="E14" t="s">
        <v>15</v>
      </c>
      <c r="F14" t="s">
        <v>16</v>
      </c>
      <c r="G14">
        <v>25</v>
      </c>
      <c r="H14">
        <v>84.09</v>
      </c>
      <c r="I14">
        <v>238.41</v>
      </c>
      <c r="J14">
        <v>295</v>
      </c>
      <c r="K14">
        <v>0.43</v>
      </c>
      <c r="L14">
        <v>0.25</v>
      </c>
      <c r="M14" t="s">
        <v>17</v>
      </c>
    </row>
    <row r="15" spans="1:13" x14ac:dyDescent="0.2">
      <c r="A15">
        <v>14</v>
      </c>
      <c r="B15">
        <v>20</v>
      </c>
      <c r="C15" t="s">
        <v>18</v>
      </c>
      <c r="D15" t="s">
        <v>26</v>
      </c>
      <c r="E15" t="s">
        <v>15</v>
      </c>
      <c r="F15" t="s">
        <v>16</v>
      </c>
      <c r="G15">
        <v>17</v>
      </c>
      <c r="H15">
        <v>371.63</v>
      </c>
      <c r="I15">
        <v>121.79</v>
      </c>
      <c r="J15">
        <v>175</v>
      </c>
      <c r="K15">
        <v>0.72</v>
      </c>
      <c r="L15">
        <v>0.12</v>
      </c>
      <c r="M15" t="s">
        <v>25</v>
      </c>
    </row>
    <row r="16" spans="1:13" x14ac:dyDescent="0.2">
      <c r="A16">
        <v>15</v>
      </c>
      <c r="B16">
        <v>23</v>
      </c>
      <c r="C16" t="s">
        <v>13</v>
      </c>
      <c r="D16" t="s">
        <v>14</v>
      </c>
      <c r="E16" t="s">
        <v>21</v>
      </c>
      <c r="F16" t="s">
        <v>22</v>
      </c>
      <c r="G16">
        <v>5</v>
      </c>
      <c r="H16">
        <v>603.11</v>
      </c>
      <c r="I16">
        <v>98.27</v>
      </c>
      <c r="J16">
        <v>70</v>
      </c>
      <c r="K16">
        <v>0.68</v>
      </c>
      <c r="L16">
        <v>0.04</v>
      </c>
      <c r="M16" t="s">
        <v>17</v>
      </c>
    </row>
    <row r="17" spans="1:13" x14ac:dyDescent="0.2">
      <c r="A17">
        <v>16</v>
      </c>
      <c r="B17">
        <v>45</v>
      </c>
      <c r="C17" t="s">
        <v>13</v>
      </c>
      <c r="D17" t="s">
        <v>23</v>
      </c>
      <c r="E17" t="s">
        <v>15</v>
      </c>
      <c r="F17" t="s">
        <v>16</v>
      </c>
      <c r="G17">
        <v>8</v>
      </c>
      <c r="H17">
        <v>1006.83</v>
      </c>
      <c r="I17">
        <v>135.71</v>
      </c>
      <c r="J17">
        <v>3</v>
      </c>
      <c r="K17">
        <v>0.13</v>
      </c>
      <c r="L17">
        <v>0.11</v>
      </c>
      <c r="M17" t="s">
        <v>25</v>
      </c>
    </row>
    <row r="18" spans="1:13" x14ac:dyDescent="0.2">
      <c r="A18">
        <v>17</v>
      </c>
      <c r="B18">
        <v>44</v>
      </c>
      <c r="C18" t="s">
        <v>18</v>
      </c>
      <c r="D18" t="s">
        <v>14</v>
      </c>
      <c r="E18" t="s">
        <v>24</v>
      </c>
      <c r="F18" t="s">
        <v>22</v>
      </c>
      <c r="G18">
        <v>2</v>
      </c>
      <c r="H18">
        <v>642.32000000000005</v>
      </c>
      <c r="I18">
        <v>178.34</v>
      </c>
      <c r="J18">
        <v>97</v>
      </c>
      <c r="K18">
        <v>0.61</v>
      </c>
      <c r="L18">
        <v>0.28000000000000003</v>
      </c>
      <c r="M18" t="s">
        <v>17</v>
      </c>
    </row>
    <row r="19" spans="1:13" x14ac:dyDescent="0.2">
      <c r="A19">
        <v>18</v>
      </c>
      <c r="B19">
        <v>22</v>
      </c>
      <c r="C19" t="s">
        <v>13</v>
      </c>
      <c r="D19" t="s">
        <v>14</v>
      </c>
      <c r="E19" t="s">
        <v>15</v>
      </c>
      <c r="F19" t="s">
        <v>22</v>
      </c>
      <c r="G19">
        <v>16</v>
      </c>
      <c r="H19">
        <v>2023.96</v>
      </c>
      <c r="I19">
        <v>212.94</v>
      </c>
      <c r="J19">
        <v>139</v>
      </c>
      <c r="K19">
        <v>0.33</v>
      </c>
      <c r="L19">
        <v>0.18</v>
      </c>
      <c r="M19" t="s">
        <v>17</v>
      </c>
    </row>
    <row r="20" spans="1:13" x14ac:dyDescent="0.2">
      <c r="A20">
        <v>19</v>
      </c>
      <c r="B20">
        <v>33</v>
      </c>
      <c r="C20" t="s">
        <v>18</v>
      </c>
      <c r="D20" t="s">
        <v>19</v>
      </c>
      <c r="E20" t="s">
        <v>15</v>
      </c>
      <c r="F20" t="s">
        <v>22</v>
      </c>
      <c r="G20">
        <v>12</v>
      </c>
      <c r="H20">
        <v>715.16</v>
      </c>
      <c r="I20">
        <v>163.97</v>
      </c>
      <c r="J20">
        <v>275</v>
      </c>
      <c r="K20">
        <v>0.47</v>
      </c>
      <c r="L20">
        <v>0.26</v>
      </c>
      <c r="M20" t="s">
        <v>17</v>
      </c>
    </row>
    <row r="21" spans="1:13" x14ac:dyDescent="0.2">
      <c r="A21">
        <v>20</v>
      </c>
      <c r="B21">
        <v>23</v>
      </c>
      <c r="C21" t="s">
        <v>13</v>
      </c>
      <c r="D21" t="s">
        <v>23</v>
      </c>
      <c r="E21" t="s">
        <v>27</v>
      </c>
      <c r="F21" t="s">
        <v>16</v>
      </c>
      <c r="G21">
        <v>4</v>
      </c>
      <c r="H21">
        <v>1291.1500000000001</v>
      </c>
      <c r="I21">
        <v>136.99</v>
      </c>
      <c r="J21">
        <v>329</v>
      </c>
      <c r="K21">
        <v>0.21</v>
      </c>
      <c r="L21">
        <v>0.32</v>
      </c>
      <c r="M21" t="s">
        <v>17</v>
      </c>
    </row>
    <row r="22" spans="1:13" x14ac:dyDescent="0.2">
      <c r="A22">
        <v>21</v>
      </c>
      <c r="B22">
        <v>53</v>
      </c>
      <c r="C22" t="s">
        <v>18</v>
      </c>
      <c r="D22" t="s">
        <v>19</v>
      </c>
      <c r="E22" t="s">
        <v>21</v>
      </c>
      <c r="F22" t="s">
        <v>20</v>
      </c>
      <c r="G22">
        <v>12</v>
      </c>
      <c r="H22">
        <v>1221.3</v>
      </c>
      <c r="I22">
        <v>175.62</v>
      </c>
      <c r="J22">
        <v>8</v>
      </c>
      <c r="K22">
        <v>0.33</v>
      </c>
      <c r="L22">
        <v>0.05</v>
      </c>
      <c r="M22" t="s">
        <v>17</v>
      </c>
    </row>
    <row r="23" spans="1:13" x14ac:dyDescent="0.2">
      <c r="A23">
        <v>22</v>
      </c>
      <c r="B23">
        <v>45</v>
      </c>
      <c r="C23" t="s">
        <v>13</v>
      </c>
      <c r="D23" t="s">
        <v>19</v>
      </c>
      <c r="E23" t="s">
        <v>24</v>
      </c>
      <c r="F23" t="s">
        <v>20</v>
      </c>
      <c r="G23">
        <v>21</v>
      </c>
      <c r="H23">
        <v>2992.64</v>
      </c>
      <c r="I23">
        <v>67.37</v>
      </c>
      <c r="J23">
        <v>328</v>
      </c>
      <c r="K23">
        <v>0.31</v>
      </c>
      <c r="L23">
        <v>0.27</v>
      </c>
      <c r="M23" t="s">
        <v>25</v>
      </c>
    </row>
    <row r="24" spans="1:13" x14ac:dyDescent="0.2">
      <c r="A24">
        <v>23</v>
      </c>
      <c r="B24">
        <v>21</v>
      </c>
      <c r="C24" t="s">
        <v>13</v>
      </c>
      <c r="D24" t="s">
        <v>26</v>
      </c>
      <c r="E24" t="s">
        <v>24</v>
      </c>
      <c r="F24" t="s">
        <v>16</v>
      </c>
      <c r="G24">
        <v>15</v>
      </c>
      <c r="H24">
        <v>1388.51</v>
      </c>
      <c r="I24">
        <v>174.82</v>
      </c>
      <c r="J24">
        <v>166</v>
      </c>
      <c r="K24">
        <v>0.34</v>
      </c>
      <c r="L24">
        <v>0.02</v>
      </c>
      <c r="M24" t="s">
        <v>17</v>
      </c>
    </row>
    <row r="25" spans="1:13" x14ac:dyDescent="0.2">
      <c r="A25">
        <v>24</v>
      </c>
      <c r="B25">
        <v>54</v>
      </c>
      <c r="C25" t="s">
        <v>18</v>
      </c>
      <c r="D25" t="s">
        <v>23</v>
      </c>
      <c r="E25" t="s">
        <v>27</v>
      </c>
      <c r="F25" t="s">
        <v>22</v>
      </c>
      <c r="G25">
        <v>3</v>
      </c>
      <c r="H25">
        <v>187.95</v>
      </c>
      <c r="I25">
        <v>214.71</v>
      </c>
      <c r="J25">
        <v>15</v>
      </c>
      <c r="K25">
        <v>0.02</v>
      </c>
      <c r="L25">
        <v>0.33</v>
      </c>
      <c r="M25" t="s">
        <v>25</v>
      </c>
    </row>
    <row r="26" spans="1:13" x14ac:dyDescent="0.2">
      <c r="A26">
        <v>25</v>
      </c>
      <c r="B26">
        <v>25</v>
      </c>
      <c r="C26" t="s">
        <v>18</v>
      </c>
      <c r="D26" t="s">
        <v>14</v>
      </c>
      <c r="E26" t="s">
        <v>15</v>
      </c>
      <c r="F26" t="s">
        <v>16</v>
      </c>
      <c r="G26">
        <v>5</v>
      </c>
      <c r="H26">
        <v>2941.56</v>
      </c>
      <c r="I26">
        <v>199</v>
      </c>
      <c r="J26">
        <v>109</v>
      </c>
      <c r="K26">
        <v>0.18</v>
      </c>
      <c r="L26">
        <v>7.0000000000000007E-2</v>
      </c>
      <c r="M26" t="s">
        <v>17</v>
      </c>
    </row>
    <row r="27" spans="1:13" x14ac:dyDescent="0.2">
      <c r="A27">
        <v>26</v>
      </c>
      <c r="B27">
        <v>32</v>
      </c>
      <c r="C27" t="s">
        <v>13</v>
      </c>
      <c r="D27" t="s">
        <v>26</v>
      </c>
      <c r="E27" t="s">
        <v>15</v>
      </c>
      <c r="F27" t="s">
        <v>22</v>
      </c>
      <c r="G27">
        <v>11</v>
      </c>
      <c r="H27">
        <v>2921.21</v>
      </c>
      <c r="I27">
        <v>132.59</v>
      </c>
      <c r="J27">
        <v>165</v>
      </c>
      <c r="K27">
        <v>0.51</v>
      </c>
      <c r="L27">
        <v>0.11</v>
      </c>
      <c r="M27" t="s">
        <v>17</v>
      </c>
    </row>
    <row r="28" spans="1:13" x14ac:dyDescent="0.2">
      <c r="A28">
        <v>27</v>
      </c>
      <c r="B28">
        <v>58</v>
      </c>
      <c r="C28" t="s">
        <v>13</v>
      </c>
      <c r="D28" t="s">
        <v>26</v>
      </c>
      <c r="E28" t="s">
        <v>15</v>
      </c>
      <c r="F28" t="s">
        <v>22</v>
      </c>
      <c r="G28">
        <v>20</v>
      </c>
      <c r="H28">
        <v>168.79</v>
      </c>
      <c r="I28">
        <v>63.54</v>
      </c>
      <c r="J28">
        <v>168</v>
      </c>
      <c r="K28">
        <v>0.05</v>
      </c>
      <c r="L28">
        <v>0.38</v>
      </c>
      <c r="M28" t="s">
        <v>17</v>
      </c>
    </row>
    <row r="29" spans="1:13" x14ac:dyDescent="0.2">
      <c r="A29">
        <v>28</v>
      </c>
      <c r="B29">
        <v>58</v>
      </c>
      <c r="C29" t="s">
        <v>13</v>
      </c>
      <c r="D29" t="s">
        <v>19</v>
      </c>
      <c r="E29" t="s">
        <v>15</v>
      </c>
      <c r="F29" t="s">
        <v>22</v>
      </c>
      <c r="G29">
        <v>1</v>
      </c>
      <c r="H29">
        <v>2603.54</v>
      </c>
      <c r="I29">
        <v>239.03</v>
      </c>
      <c r="J29">
        <v>14</v>
      </c>
      <c r="K29">
        <v>0.16</v>
      </c>
      <c r="L29">
        <v>0.14000000000000001</v>
      </c>
      <c r="M29" t="s">
        <v>17</v>
      </c>
    </row>
    <row r="30" spans="1:13" x14ac:dyDescent="0.2">
      <c r="A30">
        <v>29</v>
      </c>
      <c r="B30">
        <v>55</v>
      </c>
      <c r="C30" t="s">
        <v>18</v>
      </c>
      <c r="D30" t="s">
        <v>23</v>
      </c>
      <c r="E30" t="s">
        <v>27</v>
      </c>
      <c r="F30" t="s">
        <v>20</v>
      </c>
      <c r="G30">
        <v>12</v>
      </c>
      <c r="H30">
        <v>1881.73</v>
      </c>
      <c r="I30">
        <v>209.79</v>
      </c>
      <c r="J30">
        <v>333</v>
      </c>
      <c r="K30">
        <v>0.65</v>
      </c>
      <c r="L30">
        <v>0.09</v>
      </c>
      <c r="M30" t="s">
        <v>17</v>
      </c>
    </row>
    <row r="31" spans="1:13" x14ac:dyDescent="0.2">
      <c r="A31">
        <v>30</v>
      </c>
      <c r="B31">
        <v>21</v>
      </c>
      <c r="C31" t="s">
        <v>18</v>
      </c>
      <c r="D31" t="s">
        <v>23</v>
      </c>
      <c r="E31" t="s">
        <v>27</v>
      </c>
      <c r="F31" t="s">
        <v>20</v>
      </c>
      <c r="G31">
        <v>9</v>
      </c>
      <c r="H31">
        <v>2757.89</v>
      </c>
      <c r="I31">
        <v>148.6</v>
      </c>
      <c r="J31">
        <v>249</v>
      </c>
      <c r="K31">
        <v>0.25</v>
      </c>
      <c r="L31">
        <v>0.36</v>
      </c>
      <c r="M31" t="s">
        <v>17</v>
      </c>
    </row>
    <row r="32" spans="1:13" x14ac:dyDescent="0.2">
      <c r="A32">
        <v>31</v>
      </c>
      <c r="B32">
        <v>54</v>
      </c>
      <c r="C32" t="s">
        <v>18</v>
      </c>
      <c r="D32" t="s">
        <v>26</v>
      </c>
      <c r="E32" t="s">
        <v>24</v>
      </c>
      <c r="F32" t="s">
        <v>22</v>
      </c>
      <c r="G32">
        <v>17</v>
      </c>
      <c r="H32">
        <v>1889.24</v>
      </c>
      <c r="I32">
        <v>60.14</v>
      </c>
      <c r="J32">
        <v>208</v>
      </c>
      <c r="K32">
        <v>0.28999999999999998</v>
      </c>
      <c r="L32">
        <v>0.24</v>
      </c>
      <c r="M32" t="s">
        <v>25</v>
      </c>
    </row>
    <row r="33" spans="1:13" x14ac:dyDescent="0.2">
      <c r="A33">
        <v>32</v>
      </c>
      <c r="B33">
        <v>55</v>
      </c>
      <c r="C33" t="s">
        <v>18</v>
      </c>
      <c r="D33" t="s">
        <v>14</v>
      </c>
      <c r="E33" t="s">
        <v>24</v>
      </c>
      <c r="F33" t="s">
        <v>22</v>
      </c>
      <c r="G33">
        <v>20</v>
      </c>
      <c r="H33">
        <v>1903.34</v>
      </c>
      <c r="I33">
        <v>57.65</v>
      </c>
      <c r="J33">
        <v>313</v>
      </c>
      <c r="K33">
        <v>0.22</v>
      </c>
      <c r="L33">
        <v>0.36</v>
      </c>
      <c r="M33" t="s">
        <v>25</v>
      </c>
    </row>
    <row r="34" spans="1:13" x14ac:dyDescent="0.2">
      <c r="A34">
        <v>33</v>
      </c>
      <c r="B34">
        <v>43</v>
      </c>
      <c r="C34" t="s">
        <v>13</v>
      </c>
      <c r="D34" t="s">
        <v>19</v>
      </c>
      <c r="E34" t="s">
        <v>15</v>
      </c>
      <c r="F34" t="s">
        <v>20</v>
      </c>
      <c r="G34">
        <v>1</v>
      </c>
      <c r="H34">
        <v>2428.67</v>
      </c>
      <c r="I34">
        <v>199.6</v>
      </c>
      <c r="J34">
        <v>348</v>
      </c>
      <c r="K34">
        <v>0.75</v>
      </c>
      <c r="L34">
        <v>0.16</v>
      </c>
      <c r="M34" t="s">
        <v>25</v>
      </c>
    </row>
    <row r="35" spans="1:13" x14ac:dyDescent="0.2">
      <c r="A35">
        <v>34</v>
      </c>
      <c r="B35">
        <v>21</v>
      </c>
      <c r="C35" t="s">
        <v>18</v>
      </c>
      <c r="D35" t="s">
        <v>23</v>
      </c>
      <c r="E35" t="s">
        <v>21</v>
      </c>
      <c r="F35" t="s">
        <v>16</v>
      </c>
      <c r="G35">
        <v>4</v>
      </c>
      <c r="H35">
        <v>155.55000000000001</v>
      </c>
      <c r="I35">
        <v>74.28</v>
      </c>
      <c r="J35">
        <v>173</v>
      </c>
      <c r="K35">
        <v>0.08</v>
      </c>
      <c r="L35">
        <v>0.2</v>
      </c>
      <c r="M35" t="s">
        <v>17</v>
      </c>
    </row>
    <row r="36" spans="1:13" x14ac:dyDescent="0.2">
      <c r="A36">
        <v>35</v>
      </c>
      <c r="B36">
        <v>32</v>
      </c>
      <c r="C36" t="s">
        <v>18</v>
      </c>
      <c r="D36" t="s">
        <v>14</v>
      </c>
      <c r="E36" t="s">
        <v>21</v>
      </c>
      <c r="F36" t="s">
        <v>22</v>
      </c>
      <c r="G36">
        <v>2</v>
      </c>
      <c r="H36">
        <v>346.49</v>
      </c>
      <c r="I36">
        <v>79.86</v>
      </c>
      <c r="J36">
        <v>90</v>
      </c>
      <c r="K36">
        <v>0.56999999999999995</v>
      </c>
      <c r="L36">
        <v>0.38</v>
      </c>
      <c r="M36" t="s">
        <v>17</v>
      </c>
    </row>
    <row r="37" spans="1:13" x14ac:dyDescent="0.2">
      <c r="A37">
        <v>36</v>
      </c>
      <c r="B37">
        <v>20</v>
      </c>
      <c r="C37" t="s">
        <v>13</v>
      </c>
      <c r="D37" t="s">
        <v>19</v>
      </c>
      <c r="E37" t="s">
        <v>15</v>
      </c>
      <c r="F37" t="s">
        <v>16</v>
      </c>
      <c r="G37">
        <v>7</v>
      </c>
      <c r="H37">
        <v>409.01</v>
      </c>
      <c r="I37">
        <v>241.63</v>
      </c>
      <c r="J37">
        <v>30</v>
      </c>
      <c r="K37">
        <v>0.77</v>
      </c>
      <c r="L37">
        <v>0.2</v>
      </c>
      <c r="M37" t="s">
        <v>17</v>
      </c>
    </row>
    <row r="38" spans="1:13" x14ac:dyDescent="0.2">
      <c r="A38">
        <v>37</v>
      </c>
      <c r="B38">
        <v>53</v>
      </c>
      <c r="C38" t="s">
        <v>18</v>
      </c>
      <c r="D38" t="s">
        <v>23</v>
      </c>
      <c r="E38" t="s">
        <v>27</v>
      </c>
      <c r="F38" t="s">
        <v>16</v>
      </c>
      <c r="G38">
        <v>19</v>
      </c>
      <c r="H38">
        <v>90.32</v>
      </c>
      <c r="I38">
        <v>58.65</v>
      </c>
      <c r="J38">
        <v>213</v>
      </c>
      <c r="K38">
        <v>0.18</v>
      </c>
      <c r="L38">
        <v>0.4</v>
      </c>
      <c r="M38" t="s">
        <v>17</v>
      </c>
    </row>
    <row r="39" spans="1:13" x14ac:dyDescent="0.2">
      <c r="A39">
        <v>38</v>
      </c>
      <c r="B39">
        <v>26</v>
      </c>
      <c r="C39" t="s">
        <v>13</v>
      </c>
      <c r="D39" t="s">
        <v>26</v>
      </c>
      <c r="E39" t="s">
        <v>24</v>
      </c>
      <c r="F39" t="s">
        <v>16</v>
      </c>
      <c r="G39">
        <v>16</v>
      </c>
      <c r="H39">
        <v>748.12</v>
      </c>
      <c r="I39">
        <v>99.86</v>
      </c>
      <c r="J39">
        <v>24</v>
      </c>
      <c r="K39">
        <v>0.38</v>
      </c>
      <c r="L39">
        <v>0.08</v>
      </c>
      <c r="M39" t="s">
        <v>25</v>
      </c>
    </row>
    <row r="40" spans="1:13" x14ac:dyDescent="0.2">
      <c r="A40">
        <v>39</v>
      </c>
      <c r="B40">
        <v>36</v>
      </c>
      <c r="C40" t="s">
        <v>18</v>
      </c>
      <c r="D40" t="s">
        <v>14</v>
      </c>
      <c r="E40" t="s">
        <v>21</v>
      </c>
      <c r="F40" t="s">
        <v>22</v>
      </c>
      <c r="G40">
        <v>19</v>
      </c>
      <c r="H40">
        <v>166.29</v>
      </c>
      <c r="I40">
        <v>41.28</v>
      </c>
      <c r="J40">
        <v>45</v>
      </c>
      <c r="K40">
        <v>0.71</v>
      </c>
      <c r="L40">
        <v>0.33</v>
      </c>
      <c r="M40" t="s">
        <v>17</v>
      </c>
    </row>
    <row r="41" spans="1:13" x14ac:dyDescent="0.2">
      <c r="A41">
        <v>40</v>
      </c>
      <c r="B41">
        <v>44</v>
      </c>
      <c r="C41" t="s">
        <v>18</v>
      </c>
      <c r="D41" t="s">
        <v>23</v>
      </c>
      <c r="E41" t="s">
        <v>24</v>
      </c>
      <c r="F41" t="s">
        <v>16</v>
      </c>
      <c r="G41">
        <v>19</v>
      </c>
      <c r="H41">
        <v>383.48</v>
      </c>
      <c r="I41">
        <v>166.4</v>
      </c>
      <c r="J41">
        <v>321</v>
      </c>
      <c r="K41">
        <v>0.56000000000000005</v>
      </c>
      <c r="L41">
        <v>0.06</v>
      </c>
      <c r="M41" t="s">
        <v>17</v>
      </c>
    </row>
    <row r="42" spans="1:13" x14ac:dyDescent="0.2">
      <c r="A42">
        <v>41</v>
      </c>
      <c r="B42">
        <v>27</v>
      </c>
      <c r="C42" t="s">
        <v>18</v>
      </c>
      <c r="D42" t="s">
        <v>14</v>
      </c>
      <c r="E42" t="s">
        <v>27</v>
      </c>
      <c r="F42" t="s">
        <v>16</v>
      </c>
      <c r="G42">
        <v>7</v>
      </c>
      <c r="H42">
        <v>1075.28</v>
      </c>
      <c r="I42">
        <v>51.55</v>
      </c>
      <c r="J42">
        <v>314</v>
      </c>
      <c r="K42">
        <v>0.33</v>
      </c>
      <c r="L42">
        <v>0.21</v>
      </c>
      <c r="M42" t="s">
        <v>17</v>
      </c>
    </row>
    <row r="43" spans="1:13" x14ac:dyDescent="0.2">
      <c r="A43">
        <v>42</v>
      </c>
      <c r="B43">
        <v>52</v>
      </c>
      <c r="C43" t="s">
        <v>13</v>
      </c>
      <c r="D43" t="s">
        <v>23</v>
      </c>
      <c r="E43" t="s">
        <v>27</v>
      </c>
      <c r="F43" t="s">
        <v>16</v>
      </c>
      <c r="G43">
        <v>9</v>
      </c>
      <c r="H43">
        <v>542.59</v>
      </c>
      <c r="I43">
        <v>177.83</v>
      </c>
      <c r="J43">
        <v>172</v>
      </c>
      <c r="K43">
        <v>0.04</v>
      </c>
      <c r="L43">
        <v>0</v>
      </c>
      <c r="M43" t="s">
        <v>25</v>
      </c>
    </row>
    <row r="44" spans="1:13" x14ac:dyDescent="0.2">
      <c r="A44">
        <v>43</v>
      </c>
      <c r="B44">
        <v>25</v>
      </c>
      <c r="C44" t="s">
        <v>18</v>
      </c>
      <c r="D44" t="s">
        <v>19</v>
      </c>
      <c r="E44" t="s">
        <v>27</v>
      </c>
      <c r="F44" t="s">
        <v>20</v>
      </c>
      <c r="G44">
        <v>25</v>
      </c>
      <c r="H44">
        <v>228</v>
      </c>
      <c r="I44">
        <v>131.88</v>
      </c>
      <c r="J44">
        <v>254</v>
      </c>
      <c r="K44">
        <v>0.4</v>
      </c>
      <c r="L44">
        <v>7.0000000000000007E-2</v>
      </c>
      <c r="M44" t="s">
        <v>17</v>
      </c>
    </row>
    <row r="45" spans="1:13" x14ac:dyDescent="0.2">
      <c r="A45">
        <v>44</v>
      </c>
      <c r="B45">
        <v>54</v>
      </c>
      <c r="C45" t="s">
        <v>18</v>
      </c>
      <c r="D45" t="s">
        <v>26</v>
      </c>
      <c r="E45" t="s">
        <v>27</v>
      </c>
      <c r="F45" t="s">
        <v>22</v>
      </c>
      <c r="G45">
        <v>9</v>
      </c>
      <c r="H45">
        <v>2879.29</v>
      </c>
      <c r="I45">
        <v>131.04</v>
      </c>
      <c r="J45">
        <v>307</v>
      </c>
      <c r="K45">
        <v>0.33</v>
      </c>
      <c r="L45">
        <v>0.38</v>
      </c>
      <c r="M45" t="s">
        <v>17</v>
      </c>
    </row>
    <row r="46" spans="1:13" x14ac:dyDescent="0.2">
      <c r="A46">
        <v>45</v>
      </c>
      <c r="B46">
        <v>37</v>
      </c>
      <c r="C46" t="s">
        <v>18</v>
      </c>
      <c r="D46" t="s">
        <v>14</v>
      </c>
      <c r="E46" t="s">
        <v>15</v>
      </c>
      <c r="F46" t="s">
        <v>20</v>
      </c>
      <c r="G46">
        <v>14</v>
      </c>
      <c r="H46">
        <v>2767.12</v>
      </c>
      <c r="I46">
        <v>182.29</v>
      </c>
      <c r="J46">
        <v>205</v>
      </c>
      <c r="K46">
        <v>0.64</v>
      </c>
      <c r="L46">
        <v>0.18</v>
      </c>
      <c r="M46" t="s">
        <v>25</v>
      </c>
    </row>
    <row r="47" spans="1:13" x14ac:dyDescent="0.2">
      <c r="A47">
        <v>46</v>
      </c>
      <c r="B47">
        <v>53</v>
      </c>
      <c r="C47" t="s">
        <v>13</v>
      </c>
      <c r="D47" t="s">
        <v>26</v>
      </c>
      <c r="E47" t="s">
        <v>15</v>
      </c>
      <c r="F47" t="s">
        <v>16</v>
      </c>
      <c r="G47">
        <v>4</v>
      </c>
      <c r="H47">
        <v>2709.19</v>
      </c>
      <c r="I47">
        <v>21.35</v>
      </c>
      <c r="J47">
        <v>132</v>
      </c>
      <c r="K47">
        <v>0.27</v>
      </c>
      <c r="L47">
        <v>0.32</v>
      </c>
      <c r="M47" t="s">
        <v>17</v>
      </c>
    </row>
    <row r="48" spans="1:13" x14ac:dyDescent="0.2">
      <c r="A48">
        <v>47</v>
      </c>
      <c r="B48">
        <v>29</v>
      </c>
      <c r="C48" t="s">
        <v>13</v>
      </c>
      <c r="D48" t="s">
        <v>19</v>
      </c>
      <c r="E48" t="s">
        <v>27</v>
      </c>
      <c r="F48" t="s">
        <v>22</v>
      </c>
      <c r="G48">
        <v>15</v>
      </c>
      <c r="H48">
        <v>299.2</v>
      </c>
      <c r="I48">
        <v>179.05</v>
      </c>
      <c r="J48">
        <v>238</v>
      </c>
      <c r="K48">
        <v>0.37</v>
      </c>
      <c r="L48">
        <v>0.1</v>
      </c>
      <c r="M48" t="s">
        <v>17</v>
      </c>
    </row>
    <row r="49" spans="1:13" x14ac:dyDescent="0.2">
      <c r="A49">
        <v>48</v>
      </c>
      <c r="B49">
        <v>24</v>
      </c>
      <c r="C49" t="s">
        <v>13</v>
      </c>
      <c r="D49" t="s">
        <v>23</v>
      </c>
      <c r="E49" t="s">
        <v>15</v>
      </c>
      <c r="F49" t="s">
        <v>16</v>
      </c>
      <c r="G49">
        <v>25</v>
      </c>
      <c r="H49">
        <v>1791.23</v>
      </c>
      <c r="I49">
        <v>50.61</v>
      </c>
      <c r="J49">
        <v>7</v>
      </c>
      <c r="K49">
        <v>0.57999999999999996</v>
      </c>
      <c r="L49">
        <v>0.14000000000000001</v>
      </c>
      <c r="M49" t="s">
        <v>17</v>
      </c>
    </row>
    <row r="50" spans="1:13" x14ac:dyDescent="0.2">
      <c r="A50">
        <v>49</v>
      </c>
      <c r="B50">
        <v>55</v>
      </c>
      <c r="C50" t="s">
        <v>13</v>
      </c>
      <c r="D50" t="s">
        <v>19</v>
      </c>
      <c r="E50" t="s">
        <v>24</v>
      </c>
      <c r="F50" t="s">
        <v>22</v>
      </c>
      <c r="G50">
        <v>19</v>
      </c>
      <c r="H50">
        <v>2799.18</v>
      </c>
      <c r="I50">
        <v>167.41</v>
      </c>
      <c r="J50">
        <v>14</v>
      </c>
      <c r="K50">
        <v>0.73</v>
      </c>
      <c r="L50">
        <v>0.04</v>
      </c>
      <c r="M50" t="s">
        <v>17</v>
      </c>
    </row>
    <row r="51" spans="1:13" x14ac:dyDescent="0.2">
      <c r="A51">
        <v>50</v>
      </c>
      <c r="B51">
        <v>54</v>
      </c>
      <c r="C51" t="s">
        <v>13</v>
      </c>
      <c r="D51" t="s">
        <v>14</v>
      </c>
      <c r="E51" t="s">
        <v>21</v>
      </c>
      <c r="F51" t="s">
        <v>16</v>
      </c>
      <c r="G51">
        <v>20</v>
      </c>
      <c r="H51">
        <v>1347.93</v>
      </c>
      <c r="I51">
        <v>180.55</v>
      </c>
      <c r="J51">
        <v>163</v>
      </c>
      <c r="K51">
        <v>0.32</v>
      </c>
      <c r="L51">
        <v>0.22</v>
      </c>
      <c r="M51" t="s">
        <v>17</v>
      </c>
    </row>
    <row r="52" spans="1:13" x14ac:dyDescent="0.2">
      <c r="A52">
        <v>51</v>
      </c>
      <c r="B52">
        <v>58</v>
      </c>
      <c r="C52" t="s">
        <v>18</v>
      </c>
      <c r="D52" t="s">
        <v>19</v>
      </c>
      <c r="E52" t="s">
        <v>15</v>
      </c>
      <c r="F52" t="s">
        <v>20</v>
      </c>
      <c r="G52">
        <v>5</v>
      </c>
      <c r="H52">
        <v>1559.32</v>
      </c>
      <c r="I52">
        <v>50.68</v>
      </c>
      <c r="J52">
        <v>289</v>
      </c>
      <c r="K52">
        <v>0.35</v>
      </c>
      <c r="L52">
        <v>0.34</v>
      </c>
      <c r="M52" t="s">
        <v>25</v>
      </c>
    </row>
    <row r="53" spans="1:13" x14ac:dyDescent="0.2">
      <c r="A53">
        <v>52</v>
      </c>
      <c r="B53">
        <v>30</v>
      </c>
      <c r="C53" t="s">
        <v>18</v>
      </c>
      <c r="D53" t="s">
        <v>19</v>
      </c>
      <c r="E53" t="s">
        <v>24</v>
      </c>
      <c r="F53" t="s">
        <v>16</v>
      </c>
      <c r="G53">
        <v>9</v>
      </c>
      <c r="H53">
        <v>2661.31</v>
      </c>
      <c r="I53">
        <v>182.77</v>
      </c>
      <c r="J53">
        <v>335</v>
      </c>
      <c r="K53">
        <v>0.52</v>
      </c>
      <c r="L53">
        <v>0.21</v>
      </c>
      <c r="M53" t="s">
        <v>25</v>
      </c>
    </row>
    <row r="54" spans="1:13" x14ac:dyDescent="0.2">
      <c r="A54">
        <v>53</v>
      </c>
      <c r="B54">
        <v>41</v>
      </c>
      <c r="C54" t="s">
        <v>13</v>
      </c>
      <c r="D54" t="s">
        <v>23</v>
      </c>
      <c r="E54" t="s">
        <v>24</v>
      </c>
      <c r="F54" t="s">
        <v>22</v>
      </c>
      <c r="G54">
        <v>2</v>
      </c>
      <c r="H54">
        <v>2750.99</v>
      </c>
      <c r="I54">
        <v>155.13999999999999</v>
      </c>
      <c r="J54">
        <v>161</v>
      </c>
      <c r="K54">
        <v>0.83</v>
      </c>
      <c r="L54">
        <v>0.15</v>
      </c>
      <c r="M54" t="s">
        <v>25</v>
      </c>
    </row>
    <row r="55" spans="1:13" x14ac:dyDescent="0.2">
      <c r="A55">
        <v>54</v>
      </c>
      <c r="B55">
        <v>24</v>
      </c>
      <c r="C55" t="s">
        <v>13</v>
      </c>
      <c r="D55" t="s">
        <v>19</v>
      </c>
      <c r="E55" t="s">
        <v>15</v>
      </c>
      <c r="F55" t="s">
        <v>16</v>
      </c>
      <c r="G55">
        <v>11</v>
      </c>
      <c r="H55">
        <v>1753.17</v>
      </c>
      <c r="I55">
        <v>75.38</v>
      </c>
      <c r="J55">
        <v>29</v>
      </c>
      <c r="K55">
        <v>0.17</v>
      </c>
      <c r="L55">
        <v>0.37</v>
      </c>
      <c r="M55" t="s">
        <v>25</v>
      </c>
    </row>
    <row r="56" spans="1:13" x14ac:dyDescent="0.2">
      <c r="A56">
        <v>55</v>
      </c>
      <c r="B56">
        <v>53</v>
      </c>
      <c r="C56" t="s">
        <v>18</v>
      </c>
      <c r="D56" t="s">
        <v>14</v>
      </c>
      <c r="E56" t="s">
        <v>21</v>
      </c>
      <c r="F56" t="s">
        <v>22</v>
      </c>
      <c r="G56">
        <v>7</v>
      </c>
      <c r="H56">
        <v>858.63</v>
      </c>
      <c r="I56">
        <v>164.76</v>
      </c>
      <c r="J56">
        <v>213</v>
      </c>
      <c r="K56">
        <v>0.87</v>
      </c>
      <c r="L56">
        <v>0.36</v>
      </c>
      <c r="M56" t="s">
        <v>25</v>
      </c>
    </row>
    <row r="57" spans="1:13" x14ac:dyDescent="0.2">
      <c r="A57">
        <v>56</v>
      </c>
      <c r="B57">
        <v>22</v>
      </c>
      <c r="C57" t="s">
        <v>13</v>
      </c>
      <c r="D57" t="s">
        <v>14</v>
      </c>
      <c r="E57" t="s">
        <v>24</v>
      </c>
      <c r="F57" t="s">
        <v>20</v>
      </c>
      <c r="G57">
        <v>6</v>
      </c>
      <c r="H57">
        <v>2221</v>
      </c>
      <c r="I57">
        <v>47.13</v>
      </c>
      <c r="J57">
        <v>315</v>
      </c>
      <c r="K57">
        <v>0.64</v>
      </c>
      <c r="L57">
        <v>0.27</v>
      </c>
      <c r="M57" t="s">
        <v>17</v>
      </c>
    </row>
    <row r="58" spans="1:13" x14ac:dyDescent="0.2">
      <c r="A58">
        <v>57</v>
      </c>
      <c r="B58">
        <v>54</v>
      </c>
      <c r="C58" t="s">
        <v>18</v>
      </c>
      <c r="D58" t="s">
        <v>26</v>
      </c>
      <c r="E58" t="s">
        <v>24</v>
      </c>
      <c r="F58" t="s">
        <v>20</v>
      </c>
      <c r="G58">
        <v>13</v>
      </c>
      <c r="H58">
        <v>2234.19</v>
      </c>
      <c r="I58">
        <v>117.67</v>
      </c>
      <c r="J58">
        <v>364</v>
      </c>
      <c r="K58">
        <v>0.34</v>
      </c>
      <c r="L58">
        <v>0.03</v>
      </c>
      <c r="M58" t="s">
        <v>25</v>
      </c>
    </row>
    <row r="59" spans="1:13" x14ac:dyDescent="0.2">
      <c r="A59">
        <v>58</v>
      </c>
      <c r="B59">
        <v>21</v>
      </c>
      <c r="C59" t="s">
        <v>18</v>
      </c>
      <c r="D59" t="s">
        <v>23</v>
      </c>
      <c r="E59" t="s">
        <v>27</v>
      </c>
      <c r="F59" t="s">
        <v>22</v>
      </c>
      <c r="G59">
        <v>3</v>
      </c>
      <c r="H59">
        <v>897.14</v>
      </c>
      <c r="I59">
        <v>236.48</v>
      </c>
      <c r="J59">
        <v>169</v>
      </c>
      <c r="K59">
        <v>0.6</v>
      </c>
      <c r="L59">
        <v>0.25</v>
      </c>
      <c r="M59" t="s">
        <v>25</v>
      </c>
    </row>
    <row r="60" spans="1:13" x14ac:dyDescent="0.2">
      <c r="A60">
        <v>59</v>
      </c>
      <c r="B60">
        <v>57</v>
      </c>
      <c r="C60" t="s">
        <v>18</v>
      </c>
      <c r="D60" t="s">
        <v>19</v>
      </c>
      <c r="E60" t="s">
        <v>24</v>
      </c>
      <c r="F60" t="s">
        <v>22</v>
      </c>
      <c r="G60">
        <v>1</v>
      </c>
      <c r="H60">
        <v>1389.72</v>
      </c>
      <c r="I60">
        <v>175.72</v>
      </c>
      <c r="J60">
        <v>81</v>
      </c>
      <c r="K60">
        <v>0.3</v>
      </c>
      <c r="L60">
        <v>0.18</v>
      </c>
      <c r="M60" t="s">
        <v>17</v>
      </c>
    </row>
    <row r="61" spans="1:13" x14ac:dyDescent="0.2">
      <c r="A61">
        <v>60</v>
      </c>
      <c r="B61">
        <v>31</v>
      </c>
      <c r="C61" t="s">
        <v>13</v>
      </c>
      <c r="D61" t="s">
        <v>19</v>
      </c>
      <c r="E61" t="s">
        <v>24</v>
      </c>
      <c r="F61" t="s">
        <v>20</v>
      </c>
      <c r="G61">
        <v>2</v>
      </c>
      <c r="H61">
        <v>2099.7600000000002</v>
      </c>
      <c r="I61">
        <v>55.6</v>
      </c>
      <c r="J61">
        <v>48</v>
      </c>
      <c r="K61">
        <v>0.06</v>
      </c>
      <c r="L61">
        <v>0.38</v>
      </c>
      <c r="M61" t="s">
        <v>17</v>
      </c>
    </row>
    <row r="62" spans="1:13" x14ac:dyDescent="0.2">
      <c r="A62">
        <v>61</v>
      </c>
      <c r="B62">
        <v>49</v>
      </c>
      <c r="C62" t="s">
        <v>18</v>
      </c>
      <c r="D62" t="s">
        <v>23</v>
      </c>
      <c r="E62" t="s">
        <v>21</v>
      </c>
      <c r="F62" t="s">
        <v>20</v>
      </c>
      <c r="G62">
        <v>2</v>
      </c>
      <c r="H62">
        <v>703.77</v>
      </c>
      <c r="I62">
        <v>245.24</v>
      </c>
      <c r="J62">
        <v>10</v>
      </c>
      <c r="K62">
        <v>0.68</v>
      </c>
      <c r="L62">
        <v>0.14000000000000001</v>
      </c>
      <c r="M62" t="s">
        <v>17</v>
      </c>
    </row>
    <row r="63" spans="1:13" x14ac:dyDescent="0.2">
      <c r="A63">
        <v>62</v>
      </c>
      <c r="B63">
        <v>52</v>
      </c>
      <c r="C63" t="s">
        <v>18</v>
      </c>
      <c r="D63" t="s">
        <v>23</v>
      </c>
      <c r="E63" t="s">
        <v>27</v>
      </c>
      <c r="F63" t="s">
        <v>16</v>
      </c>
      <c r="G63">
        <v>18</v>
      </c>
      <c r="H63">
        <v>1190.6199999999999</v>
      </c>
      <c r="I63">
        <v>213.08</v>
      </c>
      <c r="J63">
        <v>80</v>
      </c>
      <c r="K63">
        <v>0.34</v>
      </c>
      <c r="L63">
        <v>0.26</v>
      </c>
      <c r="M63" t="s">
        <v>17</v>
      </c>
    </row>
    <row r="64" spans="1:13" x14ac:dyDescent="0.2">
      <c r="A64">
        <v>63</v>
      </c>
      <c r="B64">
        <v>45</v>
      </c>
      <c r="C64" t="s">
        <v>13</v>
      </c>
      <c r="D64" t="s">
        <v>26</v>
      </c>
      <c r="E64" t="s">
        <v>27</v>
      </c>
      <c r="F64" t="s">
        <v>22</v>
      </c>
      <c r="G64">
        <v>12</v>
      </c>
      <c r="H64">
        <v>1668.29</v>
      </c>
      <c r="I64">
        <v>113.4</v>
      </c>
      <c r="J64">
        <v>108</v>
      </c>
      <c r="K64">
        <v>0.47</v>
      </c>
      <c r="L64">
        <v>0.25</v>
      </c>
      <c r="M64" t="s">
        <v>17</v>
      </c>
    </row>
    <row r="65" spans="1:13" x14ac:dyDescent="0.2">
      <c r="A65">
        <v>64</v>
      </c>
      <c r="B65">
        <v>38</v>
      </c>
      <c r="C65" t="s">
        <v>18</v>
      </c>
      <c r="D65" t="s">
        <v>19</v>
      </c>
      <c r="E65" t="s">
        <v>24</v>
      </c>
      <c r="F65" t="s">
        <v>20</v>
      </c>
      <c r="G65">
        <v>23</v>
      </c>
      <c r="H65">
        <v>1132.0999999999999</v>
      </c>
      <c r="I65">
        <v>67.45</v>
      </c>
      <c r="J65">
        <v>74</v>
      </c>
      <c r="K65">
        <v>0.45</v>
      </c>
      <c r="L65">
        <v>0.15</v>
      </c>
      <c r="M65" t="s">
        <v>17</v>
      </c>
    </row>
    <row r="66" spans="1:13" x14ac:dyDescent="0.2">
      <c r="A66">
        <v>65</v>
      </c>
      <c r="B66">
        <v>47</v>
      </c>
      <c r="C66" t="s">
        <v>13</v>
      </c>
      <c r="D66" t="s">
        <v>23</v>
      </c>
      <c r="E66" t="s">
        <v>15</v>
      </c>
      <c r="F66" t="s">
        <v>20</v>
      </c>
      <c r="G66">
        <v>15</v>
      </c>
      <c r="H66">
        <v>2680.84</v>
      </c>
      <c r="I66">
        <v>178.73</v>
      </c>
      <c r="J66">
        <v>272</v>
      </c>
      <c r="K66">
        <v>0.81</v>
      </c>
      <c r="L66">
        <v>0.21</v>
      </c>
      <c r="M66" t="s">
        <v>17</v>
      </c>
    </row>
    <row r="67" spans="1:13" x14ac:dyDescent="0.2">
      <c r="A67">
        <v>66</v>
      </c>
      <c r="B67">
        <v>55</v>
      </c>
      <c r="C67" t="s">
        <v>13</v>
      </c>
      <c r="D67" t="s">
        <v>26</v>
      </c>
      <c r="E67" t="s">
        <v>21</v>
      </c>
      <c r="F67" t="s">
        <v>22</v>
      </c>
      <c r="G67">
        <v>16</v>
      </c>
      <c r="H67">
        <v>945.92</v>
      </c>
      <c r="I67">
        <v>22.85</v>
      </c>
      <c r="J67">
        <v>47</v>
      </c>
      <c r="K67">
        <v>0.68</v>
      </c>
      <c r="L67">
        <v>0.27</v>
      </c>
      <c r="M67" t="s">
        <v>25</v>
      </c>
    </row>
    <row r="68" spans="1:13" x14ac:dyDescent="0.2">
      <c r="A68">
        <v>67</v>
      </c>
      <c r="B68">
        <v>47</v>
      </c>
      <c r="C68" t="s">
        <v>18</v>
      </c>
      <c r="D68" t="s">
        <v>19</v>
      </c>
      <c r="E68" t="s">
        <v>15</v>
      </c>
      <c r="F68" t="s">
        <v>16</v>
      </c>
      <c r="G68">
        <v>3</v>
      </c>
      <c r="H68">
        <v>1459.67</v>
      </c>
      <c r="I68">
        <v>131.91999999999999</v>
      </c>
      <c r="J68">
        <v>184</v>
      </c>
      <c r="K68">
        <v>0.02</v>
      </c>
      <c r="L68">
        <v>0.36</v>
      </c>
      <c r="M68" t="s">
        <v>25</v>
      </c>
    </row>
    <row r="69" spans="1:13" x14ac:dyDescent="0.2">
      <c r="A69">
        <v>68</v>
      </c>
      <c r="B69">
        <v>41</v>
      </c>
      <c r="C69" t="s">
        <v>13</v>
      </c>
      <c r="D69" t="s">
        <v>26</v>
      </c>
      <c r="E69" t="s">
        <v>27</v>
      </c>
      <c r="F69" t="s">
        <v>20</v>
      </c>
      <c r="G69">
        <v>20</v>
      </c>
      <c r="H69">
        <v>2465.52</v>
      </c>
      <c r="I69">
        <v>29.98</v>
      </c>
      <c r="J69">
        <v>186</v>
      </c>
      <c r="K69">
        <v>0.53</v>
      </c>
      <c r="L69">
        <v>0.2</v>
      </c>
      <c r="M69" t="s">
        <v>25</v>
      </c>
    </row>
    <row r="70" spans="1:13" x14ac:dyDescent="0.2">
      <c r="A70">
        <v>69</v>
      </c>
      <c r="B70">
        <v>37</v>
      </c>
      <c r="C70" t="s">
        <v>18</v>
      </c>
      <c r="D70" t="s">
        <v>19</v>
      </c>
      <c r="E70" t="s">
        <v>27</v>
      </c>
      <c r="F70" t="s">
        <v>22</v>
      </c>
      <c r="G70">
        <v>21</v>
      </c>
      <c r="H70">
        <v>141.34</v>
      </c>
      <c r="I70">
        <v>226.04</v>
      </c>
      <c r="J70">
        <v>217</v>
      </c>
      <c r="K70">
        <v>0.42</v>
      </c>
      <c r="L70">
        <v>0.15</v>
      </c>
      <c r="M70" t="s">
        <v>17</v>
      </c>
    </row>
    <row r="71" spans="1:13" x14ac:dyDescent="0.2">
      <c r="A71">
        <v>70</v>
      </c>
      <c r="B71">
        <v>33</v>
      </c>
      <c r="C71" t="s">
        <v>13</v>
      </c>
      <c r="D71" t="s">
        <v>23</v>
      </c>
      <c r="E71" t="s">
        <v>15</v>
      </c>
      <c r="F71" t="s">
        <v>20</v>
      </c>
      <c r="G71">
        <v>13</v>
      </c>
      <c r="H71">
        <v>1034.32</v>
      </c>
      <c r="I71">
        <v>89.9</v>
      </c>
      <c r="J71">
        <v>177</v>
      </c>
      <c r="K71">
        <v>0.42</v>
      </c>
      <c r="L71">
        <v>0.39</v>
      </c>
      <c r="M71" t="s">
        <v>17</v>
      </c>
    </row>
    <row r="72" spans="1:13" x14ac:dyDescent="0.2">
      <c r="A72">
        <v>71</v>
      </c>
      <c r="B72">
        <v>29</v>
      </c>
      <c r="C72" t="s">
        <v>13</v>
      </c>
      <c r="D72" t="s">
        <v>26</v>
      </c>
      <c r="E72" t="s">
        <v>21</v>
      </c>
      <c r="F72" t="s">
        <v>22</v>
      </c>
      <c r="G72">
        <v>4</v>
      </c>
      <c r="H72">
        <v>606.97</v>
      </c>
      <c r="I72">
        <v>45.44</v>
      </c>
      <c r="J72">
        <v>276</v>
      </c>
      <c r="K72">
        <v>0.76</v>
      </c>
      <c r="L72">
        <v>0.02</v>
      </c>
      <c r="M72" t="s">
        <v>17</v>
      </c>
    </row>
    <row r="73" spans="1:13" x14ac:dyDescent="0.2">
      <c r="A73">
        <v>72</v>
      </c>
      <c r="B73">
        <v>33</v>
      </c>
      <c r="C73" t="s">
        <v>18</v>
      </c>
      <c r="D73" t="s">
        <v>26</v>
      </c>
      <c r="E73" t="s">
        <v>21</v>
      </c>
      <c r="F73" t="s">
        <v>16</v>
      </c>
      <c r="G73">
        <v>23</v>
      </c>
      <c r="H73">
        <v>1660.45</v>
      </c>
      <c r="I73">
        <v>91.05</v>
      </c>
      <c r="J73">
        <v>349</v>
      </c>
      <c r="K73">
        <v>0.37</v>
      </c>
      <c r="L73">
        <v>0.33</v>
      </c>
      <c r="M73" t="s">
        <v>17</v>
      </c>
    </row>
    <row r="74" spans="1:13" x14ac:dyDescent="0.2">
      <c r="A74">
        <v>73</v>
      </c>
      <c r="B74">
        <v>23</v>
      </c>
      <c r="C74" t="s">
        <v>13</v>
      </c>
      <c r="D74" t="s">
        <v>19</v>
      </c>
      <c r="E74" t="s">
        <v>24</v>
      </c>
      <c r="F74" t="s">
        <v>16</v>
      </c>
      <c r="G74">
        <v>3</v>
      </c>
      <c r="H74">
        <v>2910.34</v>
      </c>
      <c r="I74">
        <v>241.46</v>
      </c>
      <c r="J74">
        <v>302</v>
      </c>
      <c r="K74">
        <v>0.43</v>
      </c>
      <c r="L74">
        <v>0.27</v>
      </c>
      <c r="M74" t="s">
        <v>17</v>
      </c>
    </row>
    <row r="75" spans="1:13" x14ac:dyDescent="0.2">
      <c r="A75">
        <v>74</v>
      </c>
      <c r="B75">
        <v>54</v>
      </c>
      <c r="C75" t="s">
        <v>13</v>
      </c>
      <c r="D75" t="s">
        <v>23</v>
      </c>
      <c r="E75" t="s">
        <v>24</v>
      </c>
      <c r="F75" t="s">
        <v>16</v>
      </c>
      <c r="G75">
        <v>9</v>
      </c>
      <c r="H75">
        <v>1219.54</v>
      </c>
      <c r="I75">
        <v>57.1</v>
      </c>
      <c r="J75">
        <v>285</v>
      </c>
      <c r="K75">
        <v>0.8</v>
      </c>
      <c r="L75">
        <v>0.22</v>
      </c>
      <c r="M75" t="s">
        <v>17</v>
      </c>
    </row>
    <row r="76" spans="1:13" x14ac:dyDescent="0.2">
      <c r="A76">
        <v>75</v>
      </c>
      <c r="B76">
        <v>37</v>
      </c>
      <c r="C76" t="s">
        <v>13</v>
      </c>
      <c r="D76" t="s">
        <v>23</v>
      </c>
      <c r="E76" t="s">
        <v>27</v>
      </c>
      <c r="F76" t="s">
        <v>22</v>
      </c>
      <c r="G76">
        <v>11</v>
      </c>
      <c r="H76">
        <v>2776.37</v>
      </c>
      <c r="I76">
        <v>122.37</v>
      </c>
      <c r="J76">
        <v>79</v>
      </c>
      <c r="K76">
        <v>0.4</v>
      </c>
      <c r="L76">
        <v>0.18</v>
      </c>
      <c r="M76" t="s">
        <v>25</v>
      </c>
    </row>
    <row r="77" spans="1:13" x14ac:dyDescent="0.2">
      <c r="A77">
        <v>76</v>
      </c>
      <c r="B77">
        <v>51</v>
      </c>
      <c r="C77" t="s">
        <v>18</v>
      </c>
      <c r="D77" t="s">
        <v>14</v>
      </c>
      <c r="E77" t="s">
        <v>27</v>
      </c>
      <c r="F77" t="s">
        <v>22</v>
      </c>
      <c r="G77">
        <v>19</v>
      </c>
      <c r="H77">
        <v>528.77</v>
      </c>
      <c r="I77">
        <v>150.91</v>
      </c>
      <c r="J77">
        <v>337</v>
      </c>
      <c r="K77">
        <v>0.44</v>
      </c>
      <c r="L77">
        <v>0.3</v>
      </c>
      <c r="M77" t="s">
        <v>17</v>
      </c>
    </row>
    <row r="78" spans="1:13" x14ac:dyDescent="0.2">
      <c r="A78">
        <v>77</v>
      </c>
      <c r="B78">
        <v>49</v>
      </c>
      <c r="C78" t="s">
        <v>13</v>
      </c>
      <c r="D78" t="s">
        <v>26</v>
      </c>
      <c r="E78" t="s">
        <v>27</v>
      </c>
      <c r="F78" t="s">
        <v>20</v>
      </c>
      <c r="G78">
        <v>8</v>
      </c>
      <c r="H78">
        <v>2858.63</v>
      </c>
      <c r="I78">
        <v>86.59</v>
      </c>
      <c r="J78">
        <v>309</v>
      </c>
      <c r="K78">
        <v>0.46</v>
      </c>
      <c r="L78">
        <v>0.36</v>
      </c>
      <c r="M78" t="s">
        <v>17</v>
      </c>
    </row>
    <row r="79" spans="1:13" x14ac:dyDescent="0.2">
      <c r="A79">
        <v>78</v>
      </c>
      <c r="B79">
        <v>39</v>
      </c>
      <c r="C79" t="s">
        <v>18</v>
      </c>
      <c r="D79" t="s">
        <v>26</v>
      </c>
      <c r="E79" t="s">
        <v>27</v>
      </c>
      <c r="F79" t="s">
        <v>20</v>
      </c>
      <c r="G79">
        <v>21</v>
      </c>
      <c r="H79">
        <v>1005.66</v>
      </c>
      <c r="I79">
        <v>148.22999999999999</v>
      </c>
      <c r="J79">
        <v>295</v>
      </c>
      <c r="K79">
        <v>0.74</v>
      </c>
      <c r="L79">
        <v>0.28999999999999998</v>
      </c>
      <c r="M79" t="s">
        <v>25</v>
      </c>
    </row>
    <row r="80" spans="1:13" x14ac:dyDescent="0.2">
      <c r="A80">
        <v>79</v>
      </c>
      <c r="B80">
        <v>46</v>
      </c>
      <c r="C80" t="s">
        <v>13</v>
      </c>
      <c r="D80" t="s">
        <v>19</v>
      </c>
      <c r="E80" t="s">
        <v>21</v>
      </c>
      <c r="F80" t="s">
        <v>16</v>
      </c>
      <c r="G80">
        <v>3</v>
      </c>
      <c r="H80">
        <v>1010.16</v>
      </c>
      <c r="I80">
        <v>30.48</v>
      </c>
      <c r="J80">
        <v>170</v>
      </c>
      <c r="K80">
        <v>0.6</v>
      </c>
      <c r="L80">
        <v>0.3</v>
      </c>
      <c r="M80" t="s">
        <v>25</v>
      </c>
    </row>
    <row r="81" spans="1:13" x14ac:dyDescent="0.2">
      <c r="A81">
        <v>80</v>
      </c>
      <c r="B81">
        <v>36</v>
      </c>
      <c r="C81" t="s">
        <v>18</v>
      </c>
      <c r="D81" t="s">
        <v>14</v>
      </c>
      <c r="E81" t="s">
        <v>24</v>
      </c>
      <c r="F81" t="s">
        <v>16</v>
      </c>
      <c r="G81">
        <v>22</v>
      </c>
      <c r="H81">
        <v>846.29</v>
      </c>
      <c r="I81">
        <v>127.76</v>
      </c>
      <c r="J81">
        <v>118</v>
      </c>
      <c r="K81">
        <v>0.67</v>
      </c>
      <c r="L81">
        <v>0.01</v>
      </c>
      <c r="M81" t="s">
        <v>25</v>
      </c>
    </row>
    <row r="82" spans="1:13" x14ac:dyDescent="0.2">
      <c r="A82">
        <v>81</v>
      </c>
      <c r="B82">
        <v>56</v>
      </c>
      <c r="C82" t="s">
        <v>18</v>
      </c>
      <c r="D82" t="s">
        <v>19</v>
      </c>
      <c r="E82" t="s">
        <v>24</v>
      </c>
      <c r="F82" t="s">
        <v>20</v>
      </c>
      <c r="G82">
        <v>17</v>
      </c>
      <c r="H82">
        <v>2641.2</v>
      </c>
      <c r="I82">
        <v>245.36</v>
      </c>
      <c r="J82">
        <v>317</v>
      </c>
      <c r="K82">
        <v>0.36</v>
      </c>
      <c r="L82">
        <v>0.13</v>
      </c>
      <c r="M82" t="s">
        <v>17</v>
      </c>
    </row>
    <row r="83" spans="1:13" x14ac:dyDescent="0.2">
      <c r="A83">
        <v>82</v>
      </c>
      <c r="B83">
        <v>22</v>
      </c>
      <c r="C83" t="s">
        <v>18</v>
      </c>
      <c r="D83" t="s">
        <v>19</v>
      </c>
      <c r="E83" t="s">
        <v>24</v>
      </c>
      <c r="F83" t="s">
        <v>16</v>
      </c>
      <c r="G83">
        <v>13</v>
      </c>
      <c r="H83">
        <v>687.62</v>
      </c>
      <c r="I83">
        <v>131.66999999999999</v>
      </c>
      <c r="J83">
        <v>133</v>
      </c>
      <c r="K83">
        <v>0.04</v>
      </c>
      <c r="L83">
        <v>0.05</v>
      </c>
      <c r="M83" t="s">
        <v>25</v>
      </c>
    </row>
    <row r="84" spans="1:13" x14ac:dyDescent="0.2">
      <c r="A84">
        <v>83</v>
      </c>
      <c r="B84">
        <v>25</v>
      </c>
      <c r="C84" t="s">
        <v>13</v>
      </c>
      <c r="D84" t="s">
        <v>23</v>
      </c>
      <c r="E84" t="s">
        <v>27</v>
      </c>
      <c r="F84" t="s">
        <v>20</v>
      </c>
      <c r="G84">
        <v>6</v>
      </c>
      <c r="H84">
        <v>217.88</v>
      </c>
      <c r="I84">
        <v>191.88</v>
      </c>
      <c r="J84">
        <v>365</v>
      </c>
      <c r="K84">
        <v>0.61</v>
      </c>
      <c r="L84">
        <v>0.38</v>
      </c>
      <c r="M84" t="s">
        <v>25</v>
      </c>
    </row>
    <row r="85" spans="1:13" x14ac:dyDescent="0.2">
      <c r="A85">
        <v>84</v>
      </c>
      <c r="B85">
        <v>50</v>
      </c>
      <c r="C85" t="s">
        <v>13</v>
      </c>
      <c r="D85" t="s">
        <v>26</v>
      </c>
      <c r="E85" t="s">
        <v>27</v>
      </c>
      <c r="F85" t="s">
        <v>20</v>
      </c>
      <c r="G85">
        <v>15</v>
      </c>
      <c r="H85">
        <v>114.27</v>
      </c>
      <c r="I85">
        <v>96.3</v>
      </c>
      <c r="J85">
        <v>245</v>
      </c>
      <c r="K85">
        <v>0.5</v>
      </c>
      <c r="L85">
        <v>0.36</v>
      </c>
      <c r="M85" t="s">
        <v>25</v>
      </c>
    </row>
    <row r="86" spans="1:13" x14ac:dyDescent="0.2">
      <c r="A86">
        <v>85</v>
      </c>
      <c r="B86">
        <v>44</v>
      </c>
      <c r="C86" t="s">
        <v>13</v>
      </c>
      <c r="D86" t="s">
        <v>14</v>
      </c>
      <c r="E86" t="s">
        <v>27</v>
      </c>
      <c r="F86" t="s">
        <v>20</v>
      </c>
      <c r="G86">
        <v>6</v>
      </c>
      <c r="H86">
        <v>1675.83</v>
      </c>
      <c r="I86">
        <v>189.97</v>
      </c>
      <c r="J86">
        <v>17</v>
      </c>
      <c r="K86">
        <v>0.69</v>
      </c>
      <c r="L86">
        <v>0.06</v>
      </c>
      <c r="M86" t="s">
        <v>17</v>
      </c>
    </row>
    <row r="87" spans="1:13" x14ac:dyDescent="0.2">
      <c r="A87">
        <v>86</v>
      </c>
      <c r="B87">
        <v>28</v>
      </c>
      <c r="C87" t="s">
        <v>13</v>
      </c>
      <c r="D87" t="s">
        <v>23</v>
      </c>
      <c r="E87" t="s">
        <v>24</v>
      </c>
      <c r="F87" t="s">
        <v>20</v>
      </c>
      <c r="G87">
        <v>12</v>
      </c>
      <c r="H87">
        <v>1837.48</v>
      </c>
      <c r="I87">
        <v>80.819999999999993</v>
      </c>
      <c r="J87">
        <v>332</v>
      </c>
      <c r="K87">
        <v>0.69</v>
      </c>
      <c r="L87">
        <v>0.24</v>
      </c>
      <c r="M87" t="s">
        <v>25</v>
      </c>
    </row>
    <row r="88" spans="1:13" x14ac:dyDescent="0.2">
      <c r="A88">
        <v>87</v>
      </c>
      <c r="B88">
        <v>39</v>
      </c>
      <c r="C88" t="s">
        <v>13</v>
      </c>
      <c r="D88" t="s">
        <v>14</v>
      </c>
      <c r="E88" t="s">
        <v>24</v>
      </c>
      <c r="F88" t="s">
        <v>20</v>
      </c>
      <c r="G88">
        <v>8</v>
      </c>
      <c r="H88">
        <v>1076.58</v>
      </c>
      <c r="I88">
        <v>168.37</v>
      </c>
      <c r="J88">
        <v>159</v>
      </c>
      <c r="K88">
        <v>0.11</v>
      </c>
      <c r="L88">
        <v>0.23</v>
      </c>
      <c r="M88" t="s">
        <v>25</v>
      </c>
    </row>
    <row r="89" spans="1:13" x14ac:dyDescent="0.2">
      <c r="A89">
        <v>88</v>
      </c>
      <c r="B89">
        <v>27</v>
      </c>
      <c r="C89" t="s">
        <v>18</v>
      </c>
      <c r="D89" t="s">
        <v>14</v>
      </c>
      <c r="E89" t="s">
        <v>21</v>
      </c>
      <c r="F89" t="s">
        <v>16</v>
      </c>
      <c r="G89">
        <v>24</v>
      </c>
      <c r="H89">
        <v>1990.27</v>
      </c>
      <c r="I89">
        <v>240.05</v>
      </c>
      <c r="J89">
        <v>334</v>
      </c>
      <c r="K89">
        <v>0.2</v>
      </c>
      <c r="L89">
        <v>0.02</v>
      </c>
      <c r="M89" t="s">
        <v>17</v>
      </c>
    </row>
    <row r="90" spans="1:13" x14ac:dyDescent="0.2">
      <c r="A90">
        <v>89</v>
      </c>
      <c r="B90">
        <v>49</v>
      </c>
      <c r="C90" t="s">
        <v>13</v>
      </c>
      <c r="D90" t="s">
        <v>23</v>
      </c>
      <c r="E90" t="s">
        <v>24</v>
      </c>
      <c r="F90" t="s">
        <v>22</v>
      </c>
      <c r="G90">
        <v>8</v>
      </c>
      <c r="H90">
        <v>1575.14</v>
      </c>
      <c r="I90">
        <v>132.32</v>
      </c>
      <c r="J90">
        <v>282</v>
      </c>
      <c r="K90">
        <v>7.0000000000000007E-2</v>
      </c>
      <c r="L90">
        <v>0.16</v>
      </c>
      <c r="M90" t="s">
        <v>17</v>
      </c>
    </row>
    <row r="91" spans="1:13" x14ac:dyDescent="0.2">
      <c r="A91">
        <v>90</v>
      </c>
      <c r="B91">
        <v>44</v>
      </c>
      <c r="C91" t="s">
        <v>13</v>
      </c>
      <c r="D91" t="s">
        <v>19</v>
      </c>
      <c r="E91" t="s">
        <v>21</v>
      </c>
      <c r="F91" t="s">
        <v>22</v>
      </c>
      <c r="G91">
        <v>6</v>
      </c>
      <c r="H91">
        <v>2511.27</v>
      </c>
      <c r="I91">
        <v>200.29</v>
      </c>
      <c r="J91">
        <v>362</v>
      </c>
      <c r="K91">
        <v>0.74</v>
      </c>
      <c r="L91">
        <v>0.3</v>
      </c>
      <c r="M91" t="s">
        <v>25</v>
      </c>
    </row>
    <row r="92" spans="1:13" x14ac:dyDescent="0.2">
      <c r="A92">
        <v>91</v>
      </c>
      <c r="B92">
        <v>20</v>
      </c>
      <c r="C92" t="s">
        <v>13</v>
      </c>
      <c r="D92" t="s">
        <v>26</v>
      </c>
      <c r="E92" t="s">
        <v>24</v>
      </c>
      <c r="F92" t="s">
        <v>16</v>
      </c>
      <c r="G92">
        <v>2</v>
      </c>
      <c r="H92">
        <v>1094.6300000000001</v>
      </c>
      <c r="I92">
        <v>94.02</v>
      </c>
      <c r="J92">
        <v>233</v>
      </c>
      <c r="K92">
        <v>0.09</v>
      </c>
      <c r="L92">
        <v>0.26</v>
      </c>
      <c r="M92" t="s">
        <v>17</v>
      </c>
    </row>
    <row r="93" spans="1:13" x14ac:dyDescent="0.2">
      <c r="A93">
        <v>92</v>
      </c>
      <c r="B93">
        <v>60</v>
      </c>
      <c r="C93" t="s">
        <v>18</v>
      </c>
      <c r="D93" t="s">
        <v>26</v>
      </c>
      <c r="E93" t="s">
        <v>15</v>
      </c>
      <c r="F93" t="s">
        <v>20</v>
      </c>
      <c r="G93">
        <v>9</v>
      </c>
      <c r="H93">
        <v>2300.39</v>
      </c>
      <c r="I93">
        <v>102.64</v>
      </c>
      <c r="J93">
        <v>287</v>
      </c>
      <c r="K93">
        <v>0.08</v>
      </c>
      <c r="L93">
        <v>0.11</v>
      </c>
      <c r="M93" t="s">
        <v>25</v>
      </c>
    </row>
    <row r="94" spans="1:13" x14ac:dyDescent="0.2">
      <c r="A94">
        <v>93</v>
      </c>
      <c r="B94">
        <v>22</v>
      </c>
      <c r="C94" t="s">
        <v>18</v>
      </c>
      <c r="D94" t="s">
        <v>26</v>
      </c>
      <c r="E94" t="s">
        <v>27</v>
      </c>
      <c r="F94" t="s">
        <v>16</v>
      </c>
      <c r="G94">
        <v>12</v>
      </c>
      <c r="H94">
        <v>1586.74</v>
      </c>
      <c r="I94">
        <v>40.92</v>
      </c>
      <c r="J94">
        <v>143</v>
      </c>
      <c r="K94">
        <v>0.68</v>
      </c>
      <c r="L94">
        <v>0.3</v>
      </c>
      <c r="M94" t="s">
        <v>25</v>
      </c>
    </row>
    <row r="95" spans="1:13" x14ac:dyDescent="0.2">
      <c r="A95">
        <v>94</v>
      </c>
      <c r="B95">
        <v>53</v>
      </c>
      <c r="C95" t="s">
        <v>13</v>
      </c>
      <c r="D95" t="s">
        <v>14</v>
      </c>
      <c r="E95" t="s">
        <v>15</v>
      </c>
      <c r="F95" t="s">
        <v>16</v>
      </c>
      <c r="G95">
        <v>2</v>
      </c>
      <c r="H95">
        <v>2968.45</v>
      </c>
      <c r="I95">
        <v>85.77</v>
      </c>
      <c r="J95">
        <v>186</v>
      </c>
      <c r="K95">
        <v>0.51</v>
      </c>
      <c r="L95">
        <v>0.12</v>
      </c>
      <c r="M95" t="s">
        <v>25</v>
      </c>
    </row>
    <row r="96" spans="1:13" x14ac:dyDescent="0.2">
      <c r="A96">
        <v>95</v>
      </c>
      <c r="B96">
        <v>54</v>
      </c>
      <c r="C96" t="s">
        <v>18</v>
      </c>
      <c r="D96" t="s">
        <v>26</v>
      </c>
      <c r="E96" t="s">
        <v>27</v>
      </c>
      <c r="F96" t="s">
        <v>22</v>
      </c>
      <c r="G96">
        <v>18</v>
      </c>
      <c r="H96">
        <v>2049.09</v>
      </c>
      <c r="I96">
        <v>161.07</v>
      </c>
      <c r="J96">
        <v>268</v>
      </c>
      <c r="K96">
        <v>0.05</v>
      </c>
      <c r="L96">
        <v>0.22</v>
      </c>
      <c r="M96" t="s">
        <v>17</v>
      </c>
    </row>
    <row r="97" spans="1:13" x14ac:dyDescent="0.2">
      <c r="A97">
        <v>96</v>
      </c>
      <c r="B97">
        <v>38</v>
      </c>
      <c r="C97" t="s">
        <v>18</v>
      </c>
      <c r="D97" t="s">
        <v>14</v>
      </c>
      <c r="E97" t="s">
        <v>21</v>
      </c>
      <c r="F97" t="s">
        <v>22</v>
      </c>
      <c r="G97">
        <v>1</v>
      </c>
      <c r="H97">
        <v>2805.15</v>
      </c>
      <c r="I97">
        <v>188.05</v>
      </c>
      <c r="J97">
        <v>272</v>
      </c>
      <c r="K97">
        <v>0.61</v>
      </c>
      <c r="L97">
        <v>0.17</v>
      </c>
      <c r="M97" t="s">
        <v>17</v>
      </c>
    </row>
    <row r="98" spans="1:13" x14ac:dyDescent="0.2">
      <c r="A98">
        <v>97</v>
      </c>
      <c r="B98">
        <v>39</v>
      </c>
      <c r="C98" t="s">
        <v>13</v>
      </c>
      <c r="D98" t="s">
        <v>23</v>
      </c>
      <c r="E98" t="s">
        <v>27</v>
      </c>
      <c r="F98" t="s">
        <v>16</v>
      </c>
      <c r="G98">
        <v>2</v>
      </c>
      <c r="H98">
        <v>1279.42</v>
      </c>
      <c r="I98">
        <v>180.85</v>
      </c>
      <c r="J98">
        <v>141</v>
      </c>
      <c r="K98">
        <v>0.64</v>
      </c>
      <c r="L98">
        <v>0.39</v>
      </c>
      <c r="M98" t="s">
        <v>25</v>
      </c>
    </row>
    <row r="99" spans="1:13" x14ac:dyDescent="0.2">
      <c r="A99">
        <v>98</v>
      </c>
      <c r="B99">
        <v>40</v>
      </c>
      <c r="C99" t="s">
        <v>18</v>
      </c>
      <c r="D99" t="s">
        <v>26</v>
      </c>
      <c r="E99" t="s">
        <v>21</v>
      </c>
      <c r="F99" t="s">
        <v>22</v>
      </c>
      <c r="G99">
        <v>9</v>
      </c>
      <c r="H99">
        <v>2021.32</v>
      </c>
      <c r="I99">
        <v>170.21</v>
      </c>
      <c r="J99">
        <v>68</v>
      </c>
      <c r="K99">
        <v>0.43</v>
      </c>
      <c r="L99">
        <v>0.26</v>
      </c>
      <c r="M99" t="s">
        <v>17</v>
      </c>
    </row>
    <row r="100" spans="1:13" x14ac:dyDescent="0.2">
      <c r="A100">
        <v>99</v>
      </c>
      <c r="B100">
        <v>56</v>
      </c>
      <c r="C100" t="s">
        <v>18</v>
      </c>
      <c r="D100" t="s">
        <v>19</v>
      </c>
      <c r="E100" t="s">
        <v>21</v>
      </c>
      <c r="F100" t="s">
        <v>16</v>
      </c>
      <c r="G100">
        <v>17</v>
      </c>
      <c r="H100">
        <v>463.97</v>
      </c>
      <c r="I100">
        <v>37.97</v>
      </c>
      <c r="J100">
        <v>130</v>
      </c>
      <c r="K100">
        <v>0.05</v>
      </c>
      <c r="L100">
        <v>0.32</v>
      </c>
      <c r="M100" t="s">
        <v>25</v>
      </c>
    </row>
    <row r="101" spans="1:13" x14ac:dyDescent="0.2">
      <c r="A101">
        <v>100</v>
      </c>
      <c r="B101">
        <v>49</v>
      </c>
      <c r="C101" t="s">
        <v>13</v>
      </c>
      <c r="D101" t="s">
        <v>23</v>
      </c>
      <c r="E101" t="s">
        <v>21</v>
      </c>
      <c r="F101" t="s">
        <v>16</v>
      </c>
      <c r="G101">
        <v>23</v>
      </c>
      <c r="H101">
        <v>647.35</v>
      </c>
      <c r="I101">
        <v>191.91</v>
      </c>
      <c r="J101">
        <v>5</v>
      </c>
      <c r="K101">
        <v>0.62</v>
      </c>
      <c r="L101">
        <v>0.27</v>
      </c>
      <c r="M101" t="s">
        <v>17</v>
      </c>
    </row>
    <row r="102" spans="1:13" x14ac:dyDescent="0.2">
      <c r="A102">
        <v>101</v>
      </c>
      <c r="B102">
        <v>55</v>
      </c>
      <c r="C102" t="s">
        <v>18</v>
      </c>
      <c r="D102" t="s">
        <v>14</v>
      </c>
      <c r="E102" t="s">
        <v>27</v>
      </c>
      <c r="F102" t="s">
        <v>20</v>
      </c>
      <c r="G102">
        <v>24</v>
      </c>
      <c r="H102">
        <v>1851.73</v>
      </c>
      <c r="I102">
        <v>25.82</v>
      </c>
      <c r="J102">
        <v>286</v>
      </c>
      <c r="K102">
        <v>0.38</v>
      </c>
      <c r="L102">
        <v>0.15</v>
      </c>
      <c r="M102" t="s">
        <v>25</v>
      </c>
    </row>
    <row r="103" spans="1:13" x14ac:dyDescent="0.2">
      <c r="A103">
        <v>102</v>
      </c>
      <c r="B103">
        <v>47</v>
      </c>
      <c r="C103" t="s">
        <v>13</v>
      </c>
      <c r="D103" t="s">
        <v>14</v>
      </c>
      <c r="E103" t="s">
        <v>21</v>
      </c>
      <c r="F103" t="s">
        <v>22</v>
      </c>
      <c r="G103">
        <v>21</v>
      </c>
      <c r="H103">
        <v>866.41</v>
      </c>
      <c r="I103">
        <v>110.91</v>
      </c>
      <c r="J103">
        <v>244</v>
      </c>
      <c r="K103">
        <v>0.53</v>
      </c>
      <c r="L103">
        <v>0.39</v>
      </c>
      <c r="M103" t="s">
        <v>25</v>
      </c>
    </row>
    <row r="104" spans="1:13" x14ac:dyDescent="0.2">
      <c r="A104">
        <v>103</v>
      </c>
      <c r="B104">
        <v>22</v>
      </c>
      <c r="C104" t="s">
        <v>13</v>
      </c>
      <c r="D104" t="s">
        <v>23</v>
      </c>
      <c r="E104" t="s">
        <v>24</v>
      </c>
      <c r="F104" t="s">
        <v>16</v>
      </c>
      <c r="G104">
        <v>25</v>
      </c>
      <c r="H104">
        <v>2524.9499999999998</v>
      </c>
      <c r="I104">
        <v>53.38</v>
      </c>
      <c r="J104">
        <v>52</v>
      </c>
      <c r="K104">
        <v>0.9</v>
      </c>
      <c r="L104">
        <v>0.28000000000000003</v>
      </c>
      <c r="M104" t="s">
        <v>17</v>
      </c>
    </row>
    <row r="105" spans="1:13" x14ac:dyDescent="0.2">
      <c r="A105">
        <v>104</v>
      </c>
      <c r="B105">
        <v>23</v>
      </c>
      <c r="C105" t="s">
        <v>13</v>
      </c>
      <c r="D105" t="s">
        <v>26</v>
      </c>
      <c r="E105" t="s">
        <v>24</v>
      </c>
      <c r="F105" t="s">
        <v>20</v>
      </c>
      <c r="G105">
        <v>16</v>
      </c>
      <c r="H105">
        <v>330.4</v>
      </c>
      <c r="I105">
        <v>104.61</v>
      </c>
      <c r="J105">
        <v>336</v>
      </c>
      <c r="K105">
        <v>0.74</v>
      </c>
      <c r="L105">
        <v>0.28000000000000003</v>
      </c>
      <c r="M105" t="s">
        <v>17</v>
      </c>
    </row>
    <row r="106" spans="1:13" x14ac:dyDescent="0.2">
      <c r="A106">
        <v>105</v>
      </c>
      <c r="B106">
        <v>35</v>
      </c>
      <c r="C106" t="s">
        <v>13</v>
      </c>
      <c r="D106" t="s">
        <v>26</v>
      </c>
      <c r="E106" t="s">
        <v>27</v>
      </c>
      <c r="F106" t="s">
        <v>20</v>
      </c>
      <c r="G106">
        <v>2</v>
      </c>
      <c r="H106">
        <v>2575.98</v>
      </c>
      <c r="I106">
        <v>241.27</v>
      </c>
      <c r="J106">
        <v>186</v>
      </c>
      <c r="K106">
        <v>0.78</v>
      </c>
      <c r="L106">
        <v>0.11</v>
      </c>
      <c r="M106" t="s">
        <v>25</v>
      </c>
    </row>
    <row r="107" spans="1:13" x14ac:dyDescent="0.2">
      <c r="A107">
        <v>106</v>
      </c>
      <c r="B107">
        <v>48</v>
      </c>
      <c r="C107" t="s">
        <v>18</v>
      </c>
      <c r="D107" t="s">
        <v>23</v>
      </c>
      <c r="E107" t="s">
        <v>15</v>
      </c>
      <c r="F107" t="s">
        <v>22</v>
      </c>
      <c r="G107">
        <v>4</v>
      </c>
      <c r="H107">
        <v>2770.01</v>
      </c>
      <c r="I107">
        <v>140.85</v>
      </c>
      <c r="J107">
        <v>78</v>
      </c>
      <c r="K107">
        <v>0.13</v>
      </c>
      <c r="L107">
        <v>0.06</v>
      </c>
      <c r="M107" t="s">
        <v>17</v>
      </c>
    </row>
    <row r="108" spans="1:13" x14ac:dyDescent="0.2">
      <c r="A108">
        <v>107</v>
      </c>
      <c r="B108">
        <v>60</v>
      </c>
      <c r="C108" t="s">
        <v>13</v>
      </c>
      <c r="D108" t="s">
        <v>19</v>
      </c>
      <c r="E108" t="s">
        <v>24</v>
      </c>
      <c r="F108" t="s">
        <v>22</v>
      </c>
      <c r="G108">
        <v>5</v>
      </c>
      <c r="H108">
        <v>2987.02</v>
      </c>
      <c r="I108">
        <v>225.99</v>
      </c>
      <c r="J108">
        <v>322</v>
      </c>
      <c r="K108">
        <v>0.3</v>
      </c>
      <c r="L108">
        <v>0.23</v>
      </c>
      <c r="M108" t="s">
        <v>17</v>
      </c>
    </row>
    <row r="109" spans="1:13" x14ac:dyDescent="0.2">
      <c r="A109">
        <v>108</v>
      </c>
      <c r="B109">
        <v>22</v>
      </c>
      <c r="C109" t="s">
        <v>18</v>
      </c>
      <c r="D109" t="s">
        <v>14</v>
      </c>
      <c r="E109" t="s">
        <v>27</v>
      </c>
      <c r="F109" t="s">
        <v>22</v>
      </c>
      <c r="G109">
        <v>11</v>
      </c>
      <c r="H109">
        <v>842.61</v>
      </c>
      <c r="I109">
        <v>176.88</v>
      </c>
      <c r="J109">
        <v>117</v>
      </c>
      <c r="K109">
        <v>0.47</v>
      </c>
      <c r="L109">
        <v>0.33</v>
      </c>
      <c r="M109" t="s">
        <v>17</v>
      </c>
    </row>
    <row r="110" spans="1:13" x14ac:dyDescent="0.2">
      <c r="A110">
        <v>109</v>
      </c>
      <c r="B110">
        <v>21</v>
      </c>
      <c r="C110" t="s">
        <v>13</v>
      </c>
      <c r="D110" t="s">
        <v>23</v>
      </c>
      <c r="E110" t="s">
        <v>27</v>
      </c>
      <c r="F110" t="s">
        <v>16</v>
      </c>
      <c r="G110">
        <v>25</v>
      </c>
      <c r="H110">
        <v>1910.47</v>
      </c>
      <c r="I110">
        <v>43.5</v>
      </c>
      <c r="J110">
        <v>206</v>
      </c>
      <c r="K110">
        <v>0.01</v>
      </c>
      <c r="L110">
        <v>0.32</v>
      </c>
      <c r="M110" t="s">
        <v>17</v>
      </c>
    </row>
    <row r="111" spans="1:13" x14ac:dyDescent="0.2">
      <c r="A111">
        <v>110</v>
      </c>
      <c r="B111">
        <v>37</v>
      </c>
      <c r="C111" t="s">
        <v>18</v>
      </c>
      <c r="D111" t="s">
        <v>19</v>
      </c>
      <c r="E111" t="s">
        <v>15</v>
      </c>
      <c r="F111" t="s">
        <v>20</v>
      </c>
      <c r="G111">
        <v>1</v>
      </c>
      <c r="H111">
        <v>1914.8</v>
      </c>
      <c r="I111">
        <v>185.34</v>
      </c>
      <c r="J111">
        <v>47</v>
      </c>
      <c r="K111">
        <v>0.89</v>
      </c>
      <c r="L111">
        <v>0.14000000000000001</v>
      </c>
      <c r="M111" t="s">
        <v>25</v>
      </c>
    </row>
    <row r="112" spans="1:13" x14ac:dyDescent="0.2">
      <c r="A112">
        <v>111</v>
      </c>
      <c r="B112">
        <v>59</v>
      </c>
      <c r="C112" t="s">
        <v>18</v>
      </c>
      <c r="D112" t="s">
        <v>14</v>
      </c>
      <c r="E112" t="s">
        <v>15</v>
      </c>
      <c r="F112" t="s">
        <v>16</v>
      </c>
      <c r="G112">
        <v>7</v>
      </c>
      <c r="H112">
        <v>2125.33</v>
      </c>
      <c r="I112">
        <v>91.38</v>
      </c>
      <c r="J112">
        <v>15</v>
      </c>
      <c r="K112">
        <v>0.25</v>
      </c>
      <c r="L112">
        <v>0.06</v>
      </c>
      <c r="M112" t="s">
        <v>25</v>
      </c>
    </row>
    <row r="113" spans="1:13" x14ac:dyDescent="0.2">
      <c r="A113">
        <v>112</v>
      </c>
      <c r="B113">
        <v>54</v>
      </c>
      <c r="C113" t="s">
        <v>18</v>
      </c>
      <c r="D113" t="s">
        <v>14</v>
      </c>
      <c r="E113" t="s">
        <v>27</v>
      </c>
      <c r="F113" t="s">
        <v>22</v>
      </c>
      <c r="G113">
        <v>22</v>
      </c>
      <c r="H113">
        <v>1268.45</v>
      </c>
      <c r="I113">
        <v>161.86000000000001</v>
      </c>
      <c r="J113">
        <v>320</v>
      </c>
      <c r="K113">
        <v>0.24</v>
      </c>
      <c r="L113">
        <v>0.21</v>
      </c>
      <c r="M113" t="s">
        <v>25</v>
      </c>
    </row>
    <row r="114" spans="1:13" x14ac:dyDescent="0.2">
      <c r="A114">
        <v>113</v>
      </c>
      <c r="B114">
        <v>46</v>
      </c>
      <c r="C114" t="s">
        <v>18</v>
      </c>
      <c r="D114" t="s">
        <v>23</v>
      </c>
      <c r="E114" t="s">
        <v>15</v>
      </c>
      <c r="F114" t="s">
        <v>20</v>
      </c>
      <c r="G114">
        <v>24</v>
      </c>
      <c r="H114">
        <v>354.9</v>
      </c>
      <c r="I114">
        <v>107.26</v>
      </c>
      <c r="J114">
        <v>69</v>
      </c>
      <c r="K114">
        <v>0.28000000000000003</v>
      </c>
      <c r="L114">
        <v>0.35</v>
      </c>
      <c r="M114" t="s">
        <v>25</v>
      </c>
    </row>
    <row r="115" spans="1:13" x14ac:dyDescent="0.2">
      <c r="A115">
        <v>114</v>
      </c>
      <c r="B115">
        <v>36</v>
      </c>
      <c r="C115" t="s">
        <v>13</v>
      </c>
      <c r="D115" t="s">
        <v>26</v>
      </c>
      <c r="E115" t="s">
        <v>21</v>
      </c>
      <c r="F115" t="s">
        <v>22</v>
      </c>
      <c r="G115">
        <v>10</v>
      </c>
      <c r="H115">
        <v>1260.73</v>
      </c>
      <c r="I115">
        <v>168.88</v>
      </c>
      <c r="J115">
        <v>63</v>
      </c>
      <c r="K115">
        <v>0.23</v>
      </c>
      <c r="L115">
        <v>0.06</v>
      </c>
      <c r="M115" t="s">
        <v>17</v>
      </c>
    </row>
    <row r="116" spans="1:13" x14ac:dyDescent="0.2">
      <c r="A116">
        <v>115</v>
      </c>
      <c r="B116">
        <v>42</v>
      </c>
      <c r="C116" t="s">
        <v>13</v>
      </c>
      <c r="D116" t="s">
        <v>23</v>
      </c>
      <c r="E116" t="s">
        <v>15</v>
      </c>
      <c r="F116" t="s">
        <v>16</v>
      </c>
      <c r="G116">
        <v>19</v>
      </c>
      <c r="H116">
        <v>1672.34</v>
      </c>
      <c r="I116">
        <v>101.94</v>
      </c>
      <c r="J116">
        <v>31</v>
      </c>
      <c r="K116">
        <v>0.77</v>
      </c>
      <c r="L116">
        <v>0.3</v>
      </c>
      <c r="M116" t="s">
        <v>17</v>
      </c>
    </row>
    <row r="117" spans="1:13" x14ac:dyDescent="0.2">
      <c r="A117">
        <v>116</v>
      </c>
      <c r="B117">
        <v>60</v>
      </c>
      <c r="C117" t="s">
        <v>18</v>
      </c>
      <c r="D117" t="s">
        <v>19</v>
      </c>
      <c r="E117" t="s">
        <v>15</v>
      </c>
      <c r="F117" t="s">
        <v>20</v>
      </c>
      <c r="G117">
        <v>19</v>
      </c>
      <c r="H117">
        <v>396.47</v>
      </c>
      <c r="I117">
        <v>72.95</v>
      </c>
      <c r="J117">
        <v>279</v>
      </c>
      <c r="K117">
        <v>0.5</v>
      </c>
      <c r="L117">
        <v>7.0000000000000007E-2</v>
      </c>
      <c r="M117" t="s">
        <v>25</v>
      </c>
    </row>
    <row r="118" spans="1:13" x14ac:dyDescent="0.2">
      <c r="A118">
        <v>117</v>
      </c>
      <c r="B118">
        <v>40</v>
      </c>
      <c r="C118" t="s">
        <v>13</v>
      </c>
      <c r="D118" t="s">
        <v>23</v>
      </c>
      <c r="E118" t="s">
        <v>24</v>
      </c>
      <c r="F118" t="s">
        <v>20</v>
      </c>
      <c r="G118">
        <v>15</v>
      </c>
      <c r="H118">
        <v>1222.6099999999999</v>
      </c>
      <c r="I118">
        <v>51.36</v>
      </c>
      <c r="J118">
        <v>257</v>
      </c>
      <c r="K118">
        <v>0.46</v>
      </c>
      <c r="L118">
        <v>0.12</v>
      </c>
      <c r="M118" t="s">
        <v>17</v>
      </c>
    </row>
    <row r="119" spans="1:13" x14ac:dyDescent="0.2">
      <c r="A119">
        <v>118</v>
      </c>
      <c r="B119">
        <v>19</v>
      </c>
      <c r="C119" t="s">
        <v>13</v>
      </c>
      <c r="D119" t="s">
        <v>26</v>
      </c>
      <c r="E119" t="s">
        <v>27</v>
      </c>
      <c r="F119" t="s">
        <v>20</v>
      </c>
      <c r="G119">
        <v>25</v>
      </c>
      <c r="H119">
        <v>2979.13</v>
      </c>
      <c r="I119">
        <v>231.53</v>
      </c>
      <c r="J119">
        <v>105</v>
      </c>
      <c r="K119">
        <v>0.38</v>
      </c>
      <c r="L119">
        <v>0.02</v>
      </c>
      <c r="M119" t="s">
        <v>17</v>
      </c>
    </row>
    <row r="120" spans="1:13" x14ac:dyDescent="0.2">
      <c r="A120">
        <v>119</v>
      </c>
      <c r="B120">
        <v>47</v>
      </c>
      <c r="C120" t="s">
        <v>18</v>
      </c>
      <c r="D120" t="s">
        <v>23</v>
      </c>
      <c r="E120" t="s">
        <v>27</v>
      </c>
      <c r="F120" t="s">
        <v>16</v>
      </c>
      <c r="G120">
        <v>21</v>
      </c>
      <c r="H120">
        <v>491.42</v>
      </c>
      <c r="I120">
        <v>212.7</v>
      </c>
      <c r="J120">
        <v>285</v>
      </c>
      <c r="K120">
        <v>0.05</v>
      </c>
      <c r="L120">
        <v>0.12</v>
      </c>
      <c r="M120" t="s">
        <v>17</v>
      </c>
    </row>
    <row r="121" spans="1:13" x14ac:dyDescent="0.2">
      <c r="A121">
        <v>120</v>
      </c>
      <c r="B121">
        <v>40</v>
      </c>
      <c r="C121" t="s">
        <v>18</v>
      </c>
      <c r="D121" t="s">
        <v>26</v>
      </c>
      <c r="E121" t="s">
        <v>24</v>
      </c>
      <c r="F121" t="s">
        <v>16</v>
      </c>
      <c r="G121">
        <v>4</v>
      </c>
      <c r="H121">
        <v>2557.34</v>
      </c>
      <c r="I121">
        <v>78.319999999999993</v>
      </c>
      <c r="J121">
        <v>94</v>
      </c>
      <c r="K121">
        <v>0.27</v>
      </c>
      <c r="L121">
        <v>0.15</v>
      </c>
      <c r="M121" t="s">
        <v>17</v>
      </c>
    </row>
    <row r="122" spans="1:13" x14ac:dyDescent="0.2">
      <c r="A122">
        <v>121</v>
      </c>
      <c r="B122">
        <v>28</v>
      </c>
      <c r="C122" t="s">
        <v>13</v>
      </c>
      <c r="D122" t="s">
        <v>23</v>
      </c>
      <c r="E122" t="s">
        <v>15</v>
      </c>
      <c r="F122" t="s">
        <v>22</v>
      </c>
      <c r="G122">
        <v>16</v>
      </c>
      <c r="H122">
        <v>873.96</v>
      </c>
      <c r="I122">
        <v>33.28</v>
      </c>
      <c r="J122">
        <v>133</v>
      </c>
      <c r="K122">
        <v>0.78</v>
      </c>
      <c r="L122">
        <v>0.39</v>
      </c>
      <c r="M122" t="s">
        <v>25</v>
      </c>
    </row>
    <row r="123" spans="1:13" x14ac:dyDescent="0.2">
      <c r="A123">
        <v>122</v>
      </c>
      <c r="B123">
        <v>57</v>
      </c>
      <c r="C123" t="s">
        <v>13</v>
      </c>
      <c r="D123" t="s">
        <v>26</v>
      </c>
      <c r="E123" t="s">
        <v>24</v>
      </c>
      <c r="F123" t="s">
        <v>20</v>
      </c>
      <c r="G123">
        <v>11</v>
      </c>
      <c r="H123">
        <v>1883.13</v>
      </c>
      <c r="I123">
        <v>44.66</v>
      </c>
      <c r="J123">
        <v>311</v>
      </c>
      <c r="K123">
        <v>0.72</v>
      </c>
      <c r="L123">
        <v>0.38</v>
      </c>
      <c r="M123" t="s">
        <v>17</v>
      </c>
    </row>
    <row r="124" spans="1:13" x14ac:dyDescent="0.2">
      <c r="A124">
        <v>123</v>
      </c>
      <c r="B124">
        <v>25</v>
      </c>
      <c r="C124" t="s">
        <v>13</v>
      </c>
      <c r="D124" t="s">
        <v>26</v>
      </c>
      <c r="E124" t="s">
        <v>24</v>
      </c>
      <c r="F124" t="s">
        <v>20</v>
      </c>
      <c r="G124">
        <v>12</v>
      </c>
      <c r="H124">
        <v>377.53</v>
      </c>
      <c r="I124">
        <v>204.64</v>
      </c>
      <c r="J124">
        <v>188</v>
      </c>
      <c r="K124">
        <v>0.77</v>
      </c>
      <c r="L124">
        <v>7.0000000000000007E-2</v>
      </c>
      <c r="M124" t="s">
        <v>17</v>
      </c>
    </row>
    <row r="125" spans="1:13" x14ac:dyDescent="0.2">
      <c r="A125">
        <v>124</v>
      </c>
      <c r="B125">
        <v>49</v>
      </c>
      <c r="C125" t="s">
        <v>13</v>
      </c>
      <c r="D125" t="s">
        <v>14</v>
      </c>
      <c r="E125" t="s">
        <v>24</v>
      </c>
      <c r="F125" t="s">
        <v>20</v>
      </c>
      <c r="G125">
        <v>9</v>
      </c>
      <c r="H125">
        <v>2562.4699999999998</v>
      </c>
      <c r="I125">
        <v>231.85</v>
      </c>
      <c r="J125">
        <v>77</v>
      </c>
      <c r="K125">
        <v>0.23</v>
      </c>
      <c r="L125">
        <v>0.12</v>
      </c>
      <c r="M125" t="s">
        <v>17</v>
      </c>
    </row>
    <row r="126" spans="1:13" x14ac:dyDescent="0.2">
      <c r="A126">
        <v>125</v>
      </c>
      <c r="B126">
        <v>21</v>
      </c>
      <c r="C126" t="s">
        <v>18</v>
      </c>
      <c r="D126" t="s">
        <v>19</v>
      </c>
      <c r="E126" t="s">
        <v>15</v>
      </c>
      <c r="F126" t="s">
        <v>20</v>
      </c>
      <c r="G126">
        <v>13</v>
      </c>
      <c r="H126">
        <v>2093.3000000000002</v>
      </c>
      <c r="I126">
        <v>249.97</v>
      </c>
      <c r="J126">
        <v>91</v>
      </c>
      <c r="K126">
        <v>0.18</v>
      </c>
      <c r="L126">
        <v>0.38</v>
      </c>
      <c r="M126" t="s">
        <v>25</v>
      </c>
    </row>
    <row r="127" spans="1:13" x14ac:dyDescent="0.2">
      <c r="A127">
        <v>126</v>
      </c>
      <c r="B127">
        <v>31</v>
      </c>
      <c r="C127" t="s">
        <v>18</v>
      </c>
      <c r="D127" t="s">
        <v>26</v>
      </c>
      <c r="E127" t="s">
        <v>24</v>
      </c>
      <c r="F127" t="s">
        <v>20</v>
      </c>
      <c r="G127">
        <v>4</v>
      </c>
      <c r="H127">
        <v>899.79</v>
      </c>
      <c r="I127">
        <v>112.74</v>
      </c>
      <c r="J127">
        <v>83</v>
      </c>
      <c r="K127">
        <v>0.05</v>
      </c>
      <c r="L127">
        <v>0.08</v>
      </c>
      <c r="M127" t="s">
        <v>17</v>
      </c>
    </row>
    <row r="128" spans="1:13" x14ac:dyDescent="0.2">
      <c r="A128">
        <v>127</v>
      </c>
      <c r="B128">
        <v>36</v>
      </c>
      <c r="C128" t="s">
        <v>13</v>
      </c>
      <c r="D128" t="s">
        <v>14</v>
      </c>
      <c r="E128" t="s">
        <v>21</v>
      </c>
      <c r="F128" t="s">
        <v>16</v>
      </c>
      <c r="G128">
        <v>12</v>
      </c>
      <c r="H128">
        <v>1090.23</v>
      </c>
      <c r="I128">
        <v>31.63</v>
      </c>
      <c r="J128">
        <v>271</v>
      </c>
      <c r="K128">
        <v>0.48</v>
      </c>
      <c r="L128">
        <v>0.13</v>
      </c>
      <c r="M128" t="s">
        <v>25</v>
      </c>
    </row>
    <row r="129" spans="1:13" x14ac:dyDescent="0.2">
      <c r="A129">
        <v>128</v>
      </c>
      <c r="B129">
        <v>26</v>
      </c>
      <c r="C129" t="s">
        <v>13</v>
      </c>
      <c r="D129" t="s">
        <v>14</v>
      </c>
      <c r="E129" t="s">
        <v>15</v>
      </c>
      <c r="F129" t="s">
        <v>22</v>
      </c>
      <c r="G129">
        <v>16</v>
      </c>
      <c r="H129">
        <v>1091.21</v>
      </c>
      <c r="I129">
        <v>69.78</v>
      </c>
      <c r="J129">
        <v>15</v>
      </c>
      <c r="K129">
        <v>0.34</v>
      </c>
      <c r="L129">
        <v>0.18</v>
      </c>
      <c r="M129" t="s">
        <v>25</v>
      </c>
    </row>
    <row r="130" spans="1:13" x14ac:dyDescent="0.2">
      <c r="A130">
        <v>129</v>
      </c>
      <c r="B130">
        <v>33</v>
      </c>
      <c r="C130" t="s">
        <v>13</v>
      </c>
      <c r="D130" t="s">
        <v>14</v>
      </c>
      <c r="E130" t="s">
        <v>24</v>
      </c>
      <c r="F130" t="s">
        <v>20</v>
      </c>
      <c r="G130">
        <v>13</v>
      </c>
      <c r="H130">
        <v>1602.06</v>
      </c>
      <c r="I130">
        <v>117.29</v>
      </c>
      <c r="J130">
        <v>180</v>
      </c>
      <c r="K130">
        <v>0.42</v>
      </c>
      <c r="L130">
        <v>0.04</v>
      </c>
      <c r="M130" t="s">
        <v>17</v>
      </c>
    </row>
    <row r="131" spans="1:13" x14ac:dyDescent="0.2">
      <c r="A131">
        <v>130</v>
      </c>
      <c r="B131">
        <v>43</v>
      </c>
      <c r="C131" t="s">
        <v>18</v>
      </c>
      <c r="D131" t="s">
        <v>14</v>
      </c>
      <c r="E131" t="s">
        <v>21</v>
      </c>
      <c r="F131" t="s">
        <v>20</v>
      </c>
      <c r="G131">
        <v>6</v>
      </c>
      <c r="H131">
        <v>1806.49</v>
      </c>
      <c r="I131">
        <v>188.07</v>
      </c>
      <c r="J131">
        <v>364</v>
      </c>
      <c r="K131">
        <v>0.44</v>
      </c>
      <c r="L131">
        <v>0.1</v>
      </c>
      <c r="M131" t="s">
        <v>17</v>
      </c>
    </row>
    <row r="132" spans="1:13" x14ac:dyDescent="0.2">
      <c r="A132">
        <v>131</v>
      </c>
      <c r="B132">
        <v>43</v>
      </c>
      <c r="C132" t="s">
        <v>18</v>
      </c>
      <c r="D132" t="s">
        <v>26</v>
      </c>
      <c r="E132" t="s">
        <v>21</v>
      </c>
      <c r="F132" t="s">
        <v>20</v>
      </c>
      <c r="G132">
        <v>15</v>
      </c>
      <c r="H132">
        <v>1962.19</v>
      </c>
      <c r="I132">
        <v>249</v>
      </c>
      <c r="J132">
        <v>125</v>
      </c>
      <c r="K132">
        <v>0.53</v>
      </c>
      <c r="L132">
        <v>0.16</v>
      </c>
      <c r="M132" t="s">
        <v>25</v>
      </c>
    </row>
    <row r="133" spans="1:13" x14ac:dyDescent="0.2">
      <c r="A133">
        <v>132</v>
      </c>
      <c r="B133">
        <v>49</v>
      </c>
      <c r="C133" t="s">
        <v>13</v>
      </c>
      <c r="D133" t="s">
        <v>14</v>
      </c>
      <c r="E133" t="s">
        <v>21</v>
      </c>
      <c r="F133" t="s">
        <v>20</v>
      </c>
      <c r="G133">
        <v>8</v>
      </c>
      <c r="H133">
        <v>69.95</v>
      </c>
      <c r="I133">
        <v>158.6</v>
      </c>
      <c r="J133">
        <v>227</v>
      </c>
      <c r="K133">
        <v>0.33</v>
      </c>
      <c r="L133">
        <v>0.15</v>
      </c>
      <c r="M133" t="s">
        <v>17</v>
      </c>
    </row>
    <row r="134" spans="1:13" x14ac:dyDescent="0.2">
      <c r="A134">
        <v>133</v>
      </c>
      <c r="B134">
        <v>23</v>
      </c>
      <c r="C134" t="s">
        <v>18</v>
      </c>
      <c r="D134" t="s">
        <v>14</v>
      </c>
      <c r="E134" t="s">
        <v>27</v>
      </c>
      <c r="F134" t="s">
        <v>20</v>
      </c>
      <c r="G134">
        <v>5</v>
      </c>
      <c r="H134">
        <v>2250.04</v>
      </c>
      <c r="I134">
        <v>164.09</v>
      </c>
      <c r="J134">
        <v>256</v>
      </c>
      <c r="K134">
        <v>0.72</v>
      </c>
      <c r="L134">
        <v>0.39</v>
      </c>
      <c r="M134" t="s">
        <v>25</v>
      </c>
    </row>
    <row r="135" spans="1:13" x14ac:dyDescent="0.2">
      <c r="A135">
        <v>134</v>
      </c>
      <c r="B135">
        <v>28</v>
      </c>
      <c r="C135" t="s">
        <v>13</v>
      </c>
      <c r="D135" t="s">
        <v>14</v>
      </c>
      <c r="E135" t="s">
        <v>27</v>
      </c>
      <c r="F135" t="s">
        <v>20</v>
      </c>
      <c r="G135">
        <v>22</v>
      </c>
      <c r="H135">
        <v>2969.7</v>
      </c>
      <c r="I135">
        <v>52.63</v>
      </c>
      <c r="J135">
        <v>110</v>
      </c>
      <c r="K135">
        <v>0.18</v>
      </c>
      <c r="L135">
        <v>0.11</v>
      </c>
      <c r="M135" t="s">
        <v>25</v>
      </c>
    </row>
    <row r="136" spans="1:13" x14ac:dyDescent="0.2">
      <c r="A136">
        <v>135</v>
      </c>
      <c r="B136">
        <v>46</v>
      </c>
      <c r="C136" t="s">
        <v>18</v>
      </c>
      <c r="D136" t="s">
        <v>14</v>
      </c>
      <c r="E136" t="s">
        <v>21</v>
      </c>
      <c r="F136" t="s">
        <v>16</v>
      </c>
      <c r="G136">
        <v>1</v>
      </c>
      <c r="H136">
        <v>1172.99</v>
      </c>
      <c r="I136">
        <v>72.319999999999993</v>
      </c>
      <c r="J136">
        <v>326</v>
      </c>
      <c r="K136">
        <v>0.83</v>
      </c>
      <c r="L136">
        <v>0.08</v>
      </c>
      <c r="M136" t="s">
        <v>17</v>
      </c>
    </row>
    <row r="137" spans="1:13" x14ac:dyDescent="0.2">
      <c r="A137">
        <v>136</v>
      </c>
      <c r="B137">
        <v>43</v>
      </c>
      <c r="C137" t="s">
        <v>13</v>
      </c>
      <c r="D137" t="s">
        <v>26</v>
      </c>
      <c r="E137" t="s">
        <v>24</v>
      </c>
      <c r="F137" t="s">
        <v>20</v>
      </c>
      <c r="G137">
        <v>15</v>
      </c>
      <c r="H137">
        <v>935.07</v>
      </c>
      <c r="I137">
        <v>51.81</v>
      </c>
      <c r="J137">
        <v>177</v>
      </c>
      <c r="K137">
        <v>0.5</v>
      </c>
      <c r="L137">
        <v>0.36</v>
      </c>
      <c r="M137" t="s">
        <v>25</v>
      </c>
    </row>
    <row r="138" spans="1:13" x14ac:dyDescent="0.2">
      <c r="A138">
        <v>137</v>
      </c>
      <c r="B138">
        <v>53</v>
      </c>
      <c r="C138" t="s">
        <v>13</v>
      </c>
      <c r="D138" t="s">
        <v>26</v>
      </c>
      <c r="E138" t="s">
        <v>15</v>
      </c>
      <c r="F138" t="s">
        <v>16</v>
      </c>
      <c r="G138">
        <v>23</v>
      </c>
      <c r="H138">
        <v>1633.78</v>
      </c>
      <c r="I138">
        <v>166.45</v>
      </c>
      <c r="J138">
        <v>200</v>
      </c>
      <c r="K138">
        <v>0.05</v>
      </c>
      <c r="L138">
        <v>0.18</v>
      </c>
      <c r="M138" t="s">
        <v>25</v>
      </c>
    </row>
    <row r="139" spans="1:13" x14ac:dyDescent="0.2">
      <c r="A139">
        <v>138</v>
      </c>
      <c r="B139">
        <v>35</v>
      </c>
      <c r="C139" t="s">
        <v>18</v>
      </c>
      <c r="D139" t="s">
        <v>26</v>
      </c>
      <c r="E139" t="s">
        <v>24</v>
      </c>
      <c r="F139" t="s">
        <v>20</v>
      </c>
      <c r="G139">
        <v>7</v>
      </c>
      <c r="H139">
        <v>2418.71</v>
      </c>
      <c r="I139">
        <v>112.32</v>
      </c>
      <c r="J139">
        <v>236</v>
      </c>
      <c r="K139">
        <v>0.28000000000000003</v>
      </c>
      <c r="L139">
        <v>0.33</v>
      </c>
      <c r="M139" t="s">
        <v>17</v>
      </c>
    </row>
    <row r="140" spans="1:13" x14ac:dyDescent="0.2">
      <c r="A140">
        <v>139</v>
      </c>
      <c r="B140">
        <v>26</v>
      </c>
      <c r="C140" t="s">
        <v>18</v>
      </c>
      <c r="D140" t="s">
        <v>19</v>
      </c>
      <c r="E140" t="s">
        <v>21</v>
      </c>
      <c r="F140" t="s">
        <v>22</v>
      </c>
      <c r="G140">
        <v>2</v>
      </c>
      <c r="H140">
        <v>1335.16</v>
      </c>
      <c r="I140">
        <v>245.18</v>
      </c>
      <c r="J140">
        <v>109</v>
      </c>
      <c r="K140">
        <v>0.48</v>
      </c>
      <c r="L140">
        <v>0.25</v>
      </c>
      <c r="M140" t="s">
        <v>17</v>
      </c>
    </row>
    <row r="141" spans="1:13" x14ac:dyDescent="0.2">
      <c r="A141">
        <v>140</v>
      </c>
      <c r="B141">
        <v>45</v>
      </c>
      <c r="C141" t="s">
        <v>13</v>
      </c>
      <c r="D141" t="s">
        <v>26</v>
      </c>
      <c r="E141" t="s">
        <v>27</v>
      </c>
      <c r="F141" t="s">
        <v>16</v>
      </c>
      <c r="G141">
        <v>6</v>
      </c>
      <c r="H141">
        <v>1162.1500000000001</v>
      </c>
      <c r="I141">
        <v>215.65</v>
      </c>
      <c r="J141">
        <v>166</v>
      </c>
      <c r="K141">
        <v>0.37</v>
      </c>
      <c r="L141">
        <v>0.31</v>
      </c>
      <c r="M141" t="s">
        <v>17</v>
      </c>
    </row>
    <row r="142" spans="1:13" x14ac:dyDescent="0.2">
      <c r="A142">
        <v>141</v>
      </c>
      <c r="B142">
        <v>53</v>
      </c>
      <c r="C142" t="s">
        <v>18</v>
      </c>
      <c r="D142" t="s">
        <v>23</v>
      </c>
      <c r="E142" t="s">
        <v>24</v>
      </c>
      <c r="F142" t="s">
        <v>20</v>
      </c>
      <c r="G142">
        <v>8</v>
      </c>
      <c r="H142">
        <v>734.21</v>
      </c>
      <c r="I142">
        <v>130.26</v>
      </c>
      <c r="J142">
        <v>14</v>
      </c>
      <c r="K142">
        <v>0.51</v>
      </c>
      <c r="L142">
        <v>0.13</v>
      </c>
      <c r="M142" t="s">
        <v>25</v>
      </c>
    </row>
    <row r="143" spans="1:13" x14ac:dyDescent="0.2">
      <c r="A143">
        <v>142</v>
      </c>
      <c r="B143">
        <v>35</v>
      </c>
      <c r="C143" t="s">
        <v>18</v>
      </c>
      <c r="D143" t="s">
        <v>23</v>
      </c>
      <c r="E143" t="s">
        <v>24</v>
      </c>
      <c r="F143" t="s">
        <v>22</v>
      </c>
      <c r="G143">
        <v>3</v>
      </c>
      <c r="H143">
        <v>2473.83</v>
      </c>
      <c r="I143">
        <v>70.2</v>
      </c>
      <c r="J143">
        <v>56</v>
      </c>
      <c r="K143">
        <v>0.28999999999999998</v>
      </c>
      <c r="L143">
        <v>0.06</v>
      </c>
      <c r="M143" t="s">
        <v>17</v>
      </c>
    </row>
    <row r="144" spans="1:13" x14ac:dyDescent="0.2">
      <c r="A144">
        <v>143</v>
      </c>
      <c r="B144">
        <v>44</v>
      </c>
      <c r="C144" t="s">
        <v>18</v>
      </c>
      <c r="D144" t="s">
        <v>23</v>
      </c>
      <c r="E144" t="s">
        <v>27</v>
      </c>
      <c r="F144" t="s">
        <v>20</v>
      </c>
      <c r="G144">
        <v>20</v>
      </c>
      <c r="H144">
        <v>1023.74</v>
      </c>
      <c r="I144">
        <v>105.67</v>
      </c>
      <c r="J144">
        <v>338</v>
      </c>
      <c r="K144">
        <v>0.25</v>
      </c>
      <c r="L144">
        <v>0.3</v>
      </c>
      <c r="M144" t="s">
        <v>17</v>
      </c>
    </row>
    <row r="145" spans="1:13" x14ac:dyDescent="0.2">
      <c r="A145">
        <v>144</v>
      </c>
      <c r="B145">
        <v>40</v>
      </c>
      <c r="C145" t="s">
        <v>18</v>
      </c>
      <c r="D145" t="s">
        <v>14</v>
      </c>
      <c r="E145" t="s">
        <v>27</v>
      </c>
      <c r="F145" t="s">
        <v>22</v>
      </c>
      <c r="G145">
        <v>12</v>
      </c>
      <c r="H145">
        <v>2908.4</v>
      </c>
      <c r="I145">
        <v>27.36</v>
      </c>
      <c r="J145">
        <v>8</v>
      </c>
      <c r="K145">
        <v>0.72</v>
      </c>
      <c r="L145">
        <v>0.19</v>
      </c>
      <c r="M145" t="s">
        <v>17</v>
      </c>
    </row>
    <row r="146" spans="1:13" x14ac:dyDescent="0.2">
      <c r="A146">
        <v>145</v>
      </c>
      <c r="B146">
        <v>42</v>
      </c>
      <c r="C146" t="s">
        <v>13</v>
      </c>
      <c r="D146" t="s">
        <v>23</v>
      </c>
      <c r="E146" t="s">
        <v>27</v>
      </c>
      <c r="F146" t="s">
        <v>20</v>
      </c>
      <c r="G146">
        <v>24</v>
      </c>
      <c r="H146">
        <v>1843.85</v>
      </c>
      <c r="I146">
        <v>160.47</v>
      </c>
      <c r="J146">
        <v>34</v>
      </c>
      <c r="K146">
        <v>0.26</v>
      </c>
      <c r="L146">
        <v>0.22</v>
      </c>
      <c r="M146" t="s">
        <v>25</v>
      </c>
    </row>
    <row r="147" spans="1:13" x14ac:dyDescent="0.2">
      <c r="A147">
        <v>146</v>
      </c>
      <c r="B147">
        <v>32</v>
      </c>
      <c r="C147" t="s">
        <v>13</v>
      </c>
      <c r="D147" t="s">
        <v>23</v>
      </c>
      <c r="E147" t="s">
        <v>27</v>
      </c>
      <c r="F147" t="s">
        <v>16</v>
      </c>
      <c r="G147">
        <v>5</v>
      </c>
      <c r="H147">
        <v>765.83</v>
      </c>
      <c r="I147">
        <v>211.71</v>
      </c>
      <c r="J147">
        <v>331</v>
      </c>
      <c r="K147">
        <v>0.64</v>
      </c>
      <c r="L147">
        <v>0.27</v>
      </c>
      <c r="M147" t="s">
        <v>25</v>
      </c>
    </row>
    <row r="148" spans="1:13" x14ac:dyDescent="0.2">
      <c r="A148">
        <v>147</v>
      </c>
      <c r="B148">
        <v>27</v>
      </c>
      <c r="C148" t="s">
        <v>18</v>
      </c>
      <c r="D148" t="s">
        <v>19</v>
      </c>
      <c r="E148" t="s">
        <v>24</v>
      </c>
      <c r="F148" t="s">
        <v>20</v>
      </c>
      <c r="G148">
        <v>25</v>
      </c>
      <c r="H148">
        <v>1011.17</v>
      </c>
      <c r="I148">
        <v>137.6</v>
      </c>
      <c r="J148">
        <v>206</v>
      </c>
      <c r="K148">
        <v>0.72</v>
      </c>
      <c r="L148">
        <v>0.3</v>
      </c>
      <c r="M148" t="s">
        <v>17</v>
      </c>
    </row>
    <row r="149" spans="1:13" x14ac:dyDescent="0.2">
      <c r="A149">
        <v>148</v>
      </c>
      <c r="B149">
        <v>23</v>
      </c>
      <c r="C149" t="s">
        <v>13</v>
      </c>
      <c r="D149" t="s">
        <v>23</v>
      </c>
      <c r="E149" t="s">
        <v>15</v>
      </c>
      <c r="F149" t="s">
        <v>22</v>
      </c>
      <c r="G149">
        <v>15</v>
      </c>
      <c r="H149">
        <v>2917.76</v>
      </c>
      <c r="I149">
        <v>52.93</v>
      </c>
      <c r="J149">
        <v>346</v>
      </c>
      <c r="K149">
        <v>0.53</v>
      </c>
      <c r="L149">
        <v>0.11</v>
      </c>
      <c r="M149" t="s">
        <v>17</v>
      </c>
    </row>
    <row r="150" spans="1:13" x14ac:dyDescent="0.2">
      <c r="A150">
        <v>149</v>
      </c>
      <c r="B150">
        <v>29</v>
      </c>
      <c r="C150" t="s">
        <v>18</v>
      </c>
      <c r="D150" t="s">
        <v>19</v>
      </c>
      <c r="E150" t="s">
        <v>24</v>
      </c>
      <c r="F150" t="s">
        <v>16</v>
      </c>
      <c r="G150">
        <v>4</v>
      </c>
      <c r="H150">
        <v>2679.2</v>
      </c>
      <c r="I150">
        <v>36.56</v>
      </c>
      <c r="J150">
        <v>180</v>
      </c>
      <c r="K150">
        <v>0.41</v>
      </c>
      <c r="L150">
        <v>0.15</v>
      </c>
      <c r="M150" t="s">
        <v>17</v>
      </c>
    </row>
    <row r="151" spans="1:13" x14ac:dyDescent="0.2">
      <c r="A151">
        <v>150</v>
      </c>
      <c r="B151">
        <v>27</v>
      </c>
      <c r="C151" t="s">
        <v>13</v>
      </c>
      <c r="D151" t="s">
        <v>26</v>
      </c>
      <c r="E151" t="s">
        <v>27</v>
      </c>
      <c r="F151" t="s">
        <v>16</v>
      </c>
      <c r="G151">
        <v>13</v>
      </c>
      <c r="H151">
        <v>2869.95</v>
      </c>
      <c r="I151">
        <v>32.72</v>
      </c>
      <c r="J151">
        <v>31</v>
      </c>
      <c r="K151">
        <v>0.84</v>
      </c>
      <c r="L151">
        <v>0.37</v>
      </c>
      <c r="M151" t="s">
        <v>17</v>
      </c>
    </row>
    <row r="152" spans="1:13" x14ac:dyDescent="0.2">
      <c r="A152">
        <v>151</v>
      </c>
      <c r="B152">
        <v>32</v>
      </c>
      <c r="C152" t="s">
        <v>13</v>
      </c>
      <c r="D152" t="s">
        <v>14</v>
      </c>
      <c r="E152" t="s">
        <v>27</v>
      </c>
      <c r="F152" t="s">
        <v>22</v>
      </c>
      <c r="G152">
        <v>1</v>
      </c>
      <c r="H152">
        <v>125.45</v>
      </c>
      <c r="I152">
        <v>183.48</v>
      </c>
      <c r="J152">
        <v>117</v>
      </c>
      <c r="K152">
        <v>0.4</v>
      </c>
      <c r="L152">
        <v>0.21</v>
      </c>
      <c r="M152" t="s">
        <v>17</v>
      </c>
    </row>
    <row r="153" spans="1:13" x14ac:dyDescent="0.2">
      <c r="A153">
        <v>152</v>
      </c>
      <c r="B153">
        <v>60</v>
      </c>
      <c r="C153" t="s">
        <v>18</v>
      </c>
      <c r="D153" t="s">
        <v>19</v>
      </c>
      <c r="E153" t="s">
        <v>27</v>
      </c>
      <c r="F153" t="s">
        <v>22</v>
      </c>
      <c r="G153">
        <v>21</v>
      </c>
      <c r="H153">
        <v>806.82</v>
      </c>
      <c r="I153">
        <v>224.84</v>
      </c>
      <c r="J153">
        <v>289</v>
      </c>
      <c r="K153">
        <v>0.79</v>
      </c>
      <c r="L153">
        <v>0.12</v>
      </c>
      <c r="M153" t="s">
        <v>25</v>
      </c>
    </row>
    <row r="154" spans="1:13" x14ac:dyDescent="0.2">
      <c r="A154">
        <v>153</v>
      </c>
      <c r="B154">
        <v>32</v>
      </c>
      <c r="C154" t="s">
        <v>18</v>
      </c>
      <c r="D154" t="s">
        <v>19</v>
      </c>
      <c r="E154" t="s">
        <v>24</v>
      </c>
      <c r="F154" t="s">
        <v>20</v>
      </c>
      <c r="G154">
        <v>3</v>
      </c>
      <c r="H154">
        <v>2692.88</v>
      </c>
      <c r="I154">
        <v>34.43</v>
      </c>
      <c r="J154">
        <v>193</v>
      </c>
      <c r="K154">
        <v>0.05</v>
      </c>
      <c r="L154">
        <v>0.25</v>
      </c>
      <c r="M154" t="s">
        <v>17</v>
      </c>
    </row>
    <row r="155" spans="1:13" x14ac:dyDescent="0.2">
      <c r="A155">
        <v>154</v>
      </c>
      <c r="B155">
        <v>18</v>
      </c>
      <c r="C155" t="s">
        <v>13</v>
      </c>
      <c r="D155" t="s">
        <v>14</v>
      </c>
      <c r="E155" t="s">
        <v>27</v>
      </c>
      <c r="F155" t="s">
        <v>16</v>
      </c>
      <c r="G155">
        <v>15</v>
      </c>
      <c r="H155">
        <v>934.47</v>
      </c>
      <c r="I155">
        <v>22.02</v>
      </c>
      <c r="J155">
        <v>210</v>
      </c>
      <c r="K155">
        <v>0.39</v>
      </c>
      <c r="L155">
        <v>0.1</v>
      </c>
      <c r="M155" t="s">
        <v>17</v>
      </c>
    </row>
    <row r="156" spans="1:13" x14ac:dyDescent="0.2">
      <c r="A156">
        <v>155</v>
      </c>
      <c r="B156">
        <v>49</v>
      </c>
      <c r="C156" t="s">
        <v>18</v>
      </c>
      <c r="D156" t="s">
        <v>14</v>
      </c>
      <c r="E156" t="s">
        <v>27</v>
      </c>
      <c r="F156" t="s">
        <v>16</v>
      </c>
      <c r="G156">
        <v>11</v>
      </c>
      <c r="H156">
        <v>1632.51</v>
      </c>
      <c r="I156">
        <v>239.88</v>
      </c>
      <c r="J156">
        <v>193</v>
      </c>
      <c r="K156">
        <v>0.57999999999999996</v>
      </c>
      <c r="L156">
        <v>0.31</v>
      </c>
      <c r="M156" t="s">
        <v>17</v>
      </c>
    </row>
    <row r="157" spans="1:13" x14ac:dyDescent="0.2">
      <c r="A157">
        <v>156</v>
      </c>
      <c r="B157">
        <v>55</v>
      </c>
      <c r="C157" t="s">
        <v>18</v>
      </c>
      <c r="D157" t="s">
        <v>23</v>
      </c>
      <c r="E157" t="s">
        <v>27</v>
      </c>
      <c r="F157" t="s">
        <v>20</v>
      </c>
      <c r="G157">
        <v>11</v>
      </c>
      <c r="H157">
        <v>971.63</v>
      </c>
      <c r="I157">
        <v>60.54</v>
      </c>
      <c r="J157">
        <v>337</v>
      </c>
      <c r="K157">
        <v>0.04</v>
      </c>
      <c r="L157">
        <v>0.02</v>
      </c>
      <c r="M157" t="s">
        <v>25</v>
      </c>
    </row>
    <row r="158" spans="1:13" x14ac:dyDescent="0.2">
      <c r="A158">
        <v>157</v>
      </c>
      <c r="B158">
        <v>29</v>
      </c>
      <c r="C158" t="s">
        <v>13</v>
      </c>
      <c r="D158" t="s">
        <v>14</v>
      </c>
      <c r="E158" t="s">
        <v>27</v>
      </c>
      <c r="F158" t="s">
        <v>16</v>
      </c>
      <c r="G158">
        <v>8</v>
      </c>
      <c r="H158">
        <v>1878.98</v>
      </c>
      <c r="I158">
        <v>186.69</v>
      </c>
      <c r="J158">
        <v>322</v>
      </c>
      <c r="K158">
        <v>0.78</v>
      </c>
      <c r="L158">
        <v>0.33</v>
      </c>
      <c r="M158" t="s">
        <v>25</v>
      </c>
    </row>
    <row r="159" spans="1:13" x14ac:dyDescent="0.2">
      <c r="A159">
        <v>158</v>
      </c>
      <c r="B159">
        <v>34</v>
      </c>
      <c r="C159" t="s">
        <v>13</v>
      </c>
      <c r="D159" t="s">
        <v>26</v>
      </c>
      <c r="E159" t="s">
        <v>15</v>
      </c>
      <c r="F159" t="s">
        <v>16</v>
      </c>
      <c r="G159">
        <v>16</v>
      </c>
      <c r="H159">
        <v>1339.62</v>
      </c>
      <c r="I159">
        <v>107.13</v>
      </c>
      <c r="J159">
        <v>115</v>
      </c>
      <c r="K159">
        <v>0.06</v>
      </c>
      <c r="L159">
        <v>0.23</v>
      </c>
      <c r="M159" t="s">
        <v>25</v>
      </c>
    </row>
    <row r="160" spans="1:13" x14ac:dyDescent="0.2">
      <c r="A160">
        <v>159</v>
      </c>
      <c r="B160">
        <v>36</v>
      </c>
      <c r="C160" t="s">
        <v>13</v>
      </c>
      <c r="D160" t="s">
        <v>19</v>
      </c>
      <c r="E160" t="s">
        <v>24</v>
      </c>
      <c r="F160" t="s">
        <v>22</v>
      </c>
      <c r="G160">
        <v>4</v>
      </c>
      <c r="H160">
        <v>2485.7399999999998</v>
      </c>
      <c r="I160">
        <v>20.96</v>
      </c>
      <c r="J160">
        <v>16</v>
      </c>
      <c r="K160">
        <v>0.54</v>
      </c>
      <c r="L160">
        <v>0.14000000000000001</v>
      </c>
      <c r="M160" t="s">
        <v>17</v>
      </c>
    </row>
    <row r="161" spans="1:13" x14ac:dyDescent="0.2">
      <c r="A161">
        <v>160</v>
      </c>
      <c r="B161">
        <v>18</v>
      </c>
      <c r="C161" t="s">
        <v>13</v>
      </c>
      <c r="D161" t="s">
        <v>23</v>
      </c>
      <c r="E161" t="s">
        <v>27</v>
      </c>
      <c r="F161" t="s">
        <v>20</v>
      </c>
      <c r="G161">
        <v>21</v>
      </c>
      <c r="H161">
        <v>2194.9899999999998</v>
      </c>
      <c r="I161">
        <v>204.96</v>
      </c>
      <c r="J161">
        <v>129</v>
      </c>
      <c r="K161">
        <v>0.16</v>
      </c>
      <c r="L161">
        <v>0.38</v>
      </c>
      <c r="M161" t="s">
        <v>17</v>
      </c>
    </row>
    <row r="162" spans="1:13" x14ac:dyDescent="0.2">
      <c r="A162">
        <v>161</v>
      </c>
      <c r="B162">
        <v>27</v>
      </c>
      <c r="C162" t="s">
        <v>18</v>
      </c>
      <c r="D162" t="s">
        <v>19</v>
      </c>
      <c r="E162" t="s">
        <v>21</v>
      </c>
      <c r="F162" t="s">
        <v>20</v>
      </c>
      <c r="G162">
        <v>12</v>
      </c>
      <c r="H162">
        <v>1318.67</v>
      </c>
      <c r="I162">
        <v>175.31</v>
      </c>
      <c r="J162">
        <v>11</v>
      </c>
      <c r="K162">
        <v>0.83</v>
      </c>
      <c r="L162">
        <v>0.11</v>
      </c>
      <c r="M162" t="s">
        <v>25</v>
      </c>
    </row>
    <row r="163" spans="1:13" x14ac:dyDescent="0.2">
      <c r="A163">
        <v>162</v>
      </c>
      <c r="B163">
        <v>44</v>
      </c>
      <c r="C163" t="s">
        <v>13</v>
      </c>
      <c r="D163" t="s">
        <v>19</v>
      </c>
      <c r="E163" t="s">
        <v>27</v>
      </c>
      <c r="F163" t="s">
        <v>22</v>
      </c>
      <c r="G163">
        <v>5</v>
      </c>
      <c r="H163">
        <v>1419.53</v>
      </c>
      <c r="I163">
        <v>150.53</v>
      </c>
      <c r="J163">
        <v>135</v>
      </c>
      <c r="K163">
        <v>0.5</v>
      </c>
      <c r="L163">
        <v>0.1</v>
      </c>
      <c r="M163" t="s">
        <v>25</v>
      </c>
    </row>
    <row r="164" spans="1:13" x14ac:dyDescent="0.2">
      <c r="A164">
        <v>163</v>
      </c>
      <c r="B164">
        <v>52</v>
      </c>
      <c r="C164" t="s">
        <v>13</v>
      </c>
      <c r="D164" t="s">
        <v>23</v>
      </c>
      <c r="E164" t="s">
        <v>24</v>
      </c>
      <c r="F164" t="s">
        <v>22</v>
      </c>
      <c r="G164">
        <v>11</v>
      </c>
      <c r="H164">
        <v>170.1</v>
      </c>
      <c r="I164">
        <v>127.83</v>
      </c>
      <c r="J164">
        <v>364</v>
      </c>
      <c r="K164">
        <v>0.72</v>
      </c>
      <c r="L164">
        <v>0.03</v>
      </c>
      <c r="M164" t="s">
        <v>25</v>
      </c>
    </row>
    <row r="165" spans="1:13" x14ac:dyDescent="0.2">
      <c r="A165">
        <v>164</v>
      </c>
      <c r="B165">
        <v>41</v>
      </c>
      <c r="C165" t="s">
        <v>18</v>
      </c>
      <c r="D165" t="s">
        <v>26</v>
      </c>
      <c r="E165" t="s">
        <v>24</v>
      </c>
      <c r="F165" t="s">
        <v>22</v>
      </c>
      <c r="G165">
        <v>8</v>
      </c>
      <c r="H165">
        <v>2044.87</v>
      </c>
      <c r="I165">
        <v>144.83000000000001</v>
      </c>
      <c r="J165">
        <v>223</v>
      </c>
      <c r="K165">
        <v>0.45</v>
      </c>
      <c r="L165">
        <v>0.22</v>
      </c>
      <c r="M165" t="s">
        <v>25</v>
      </c>
    </row>
    <row r="166" spans="1:13" x14ac:dyDescent="0.2">
      <c r="A166">
        <v>165</v>
      </c>
      <c r="B166">
        <v>57</v>
      </c>
      <c r="C166" t="s">
        <v>13</v>
      </c>
      <c r="D166" t="s">
        <v>26</v>
      </c>
      <c r="E166" t="s">
        <v>24</v>
      </c>
      <c r="F166" t="s">
        <v>22</v>
      </c>
      <c r="G166">
        <v>24</v>
      </c>
      <c r="H166">
        <v>1386.54</v>
      </c>
      <c r="I166">
        <v>138.86000000000001</v>
      </c>
      <c r="J166">
        <v>124</v>
      </c>
      <c r="K166">
        <v>0.61</v>
      </c>
      <c r="L166">
        <v>0.3</v>
      </c>
      <c r="M166" t="s">
        <v>17</v>
      </c>
    </row>
    <row r="167" spans="1:13" x14ac:dyDescent="0.2">
      <c r="A167">
        <v>166</v>
      </c>
      <c r="B167">
        <v>54</v>
      </c>
      <c r="C167" t="s">
        <v>18</v>
      </c>
      <c r="D167" t="s">
        <v>23</v>
      </c>
      <c r="E167" t="s">
        <v>27</v>
      </c>
      <c r="F167" t="s">
        <v>20</v>
      </c>
      <c r="G167">
        <v>2</v>
      </c>
      <c r="H167">
        <v>80.62</v>
      </c>
      <c r="I167">
        <v>118.53</v>
      </c>
      <c r="J167">
        <v>119</v>
      </c>
      <c r="K167">
        <v>0.61</v>
      </c>
      <c r="L167">
        <v>0.27</v>
      </c>
      <c r="M167" t="s">
        <v>25</v>
      </c>
    </row>
    <row r="168" spans="1:13" x14ac:dyDescent="0.2">
      <c r="A168">
        <v>167</v>
      </c>
      <c r="B168">
        <v>38</v>
      </c>
      <c r="C168" t="s">
        <v>13</v>
      </c>
      <c r="D168" t="s">
        <v>14</v>
      </c>
      <c r="E168" t="s">
        <v>27</v>
      </c>
      <c r="F168" t="s">
        <v>16</v>
      </c>
      <c r="G168">
        <v>6</v>
      </c>
      <c r="H168">
        <v>251.39</v>
      </c>
      <c r="I168">
        <v>142.97999999999999</v>
      </c>
      <c r="J168">
        <v>182</v>
      </c>
      <c r="K168">
        <v>0.27</v>
      </c>
      <c r="L168">
        <v>0.17</v>
      </c>
      <c r="M168" t="s">
        <v>17</v>
      </c>
    </row>
    <row r="169" spans="1:13" x14ac:dyDescent="0.2">
      <c r="A169">
        <v>168</v>
      </c>
      <c r="B169">
        <v>26</v>
      </c>
      <c r="C169" t="s">
        <v>18</v>
      </c>
      <c r="D169" t="s">
        <v>19</v>
      </c>
      <c r="E169" t="s">
        <v>27</v>
      </c>
      <c r="F169" t="s">
        <v>16</v>
      </c>
      <c r="G169">
        <v>23</v>
      </c>
      <c r="H169">
        <v>726.35</v>
      </c>
      <c r="I169">
        <v>163.92</v>
      </c>
      <c r="J169">
        <v>105</v>
      </c>
      <c r="K169">
        <v>0.19</v>
      </c>
      <c r="L169">
        <v>0.32</v>
      </c>
      <c r="M169" t="s">
        <v>25</v>
      </c>
    </row>
    <row r="170" spans="1:13" x14ac:dyDescent="0.2">
      <c r="A170">
        <v>169</v>
      </c>
      <c r="B170">
        <v>50</v>
      </c>
      <c r="C170" t="s">
        <v>18</v>
      </c>
      <c r="D170" t="s">
        <v>23</v>
      </c>
      <c r="E170" t="s">
        <v>27</v>
      </c>
      <c r="F170" t="s">
        <v>22</v>
      </c>
      <c r="G170">
        <v>15</v>
      </c>
      <c r="H170">
        <v>1258.08</v>
      </c>
      <c r="I170">
        <v>55.5</v>
      </c>
      <c r="J170">
        <v>167</v>
      </c>
      <c r="K170">
        <v>0.75</v>
      </c>
      <c r="L170">
        <v>0.04</v>
      </c>
      <c r="M170" t="s">
        <v>25</v>
      </c>
    </row>
    <row r="171" spans="1:13" x14ac:dyDescent="0.2">
      <c r="A171">
        <v>170</v>
      </c>
      <c r="B171">
        <v>57</v>
      </c>
      <c r="C171" t="s">
        <v>13</v>
      </c>
      <c r="D171" t="s">
        <v>26</v>
      </c>
      <c r="E171" t="s">
        <v>15</v>
      </c>
      <c r="F171" t="s">
        <v>16</v>
      </c>
      <c r="G171">
        <v>18</v>
      </c>
      <c r="H171">
        <v>1527.68</v>
      </c>
      <c r="I171">
        <v>112.31</v>
      </c>
      <c r="J171">
        <v>218</v>
      </c>
      <c r="K171">
        <v>0.13</v>
      </c>
      <c r="L171">
        <v>0.12</v>
      </c>
      <c r="M171" t="s">
        <v>25</v>
      </c>
    </row>
    <row r="172" spans="1:13" x14ac:dyDescent="0.2">
      <c r="A172">
        <v>171</v>
      </c>
      <c r="B172">
        <v>59</v>
      </c>
      <c r="C172" t="s">
        <v>13</v>
      </c>
      <c r="D172" t="s">
        <v>26</v>
      </c>
      <c r="E172" t="s">
        <v>21</v>
      </c>
      <c r="F172" t="s">
        <v>16</v>
      </c>
      <c r="G172">
        <v>5</v>
      </c>
      <c r="H172">
        <v>1963.18</v>
      </c>
      <c r="I172">
        <v>160.09</v>
      </c>
      <c r="J172">
        <v>330</v>
      </c>
      <c r="K172">
        <v>0.83</v>
      </c>
      <c r="L172">
        <v>0.26</v>
      </c>
      <c r="M172" t="s">
        <v>17</v>
      </c>
    </row>
    <row r="173" spans="1:13" x14ac:dyDescent="0.2">
      <c r="A173">
        <v>172</v>
      </c>
      <c r="B173">
        <v>21</v>
      </c>
      <c r="C173" t="s">
        <v>13</v>
      </c>
      <c r="D173" t="s">
        <v>14</v>
      </c>
      <c r="E173" t="s">
        <v>27</v>
      </c>
      <c r="F173" t="s">
        <v>16</v>
      </c>
      <c r="G173">
        <v>15</v>
      </c>
      <c r="H173">
        <v>2788.82</v>
      </c>
      <c r="I173">
        <v>38.729999999999997</v>
      </c>
      <c r="J173">
        <v>143</v>
      </c>
      <c r="K173">
        <v>0.19</v>
      </c>
      <c r="L173">
        <v>0.39</v>
      </c>
      <c r="M173" t="s">
        <v>17</v>
      </c>
    </row>
    <row r="174" spans="1:13" x14ac:dyDescent="0.2">
      <c r="A174">
        <v>173</v>
      </c>
      <c r="B174">
        <v>47</v>
      </c>
      <c r="C174" t="s">
        <v>18</v>
      </c>
      <c r="D174" t="s">
        <v>26</v>
      </c>
      <c r="E174" t="s">
        <v>24</v>
      </c>
      <c r="F174" t="s">
        <v>20</v>
      </c>
      <c r="G174">
        <v>5</v>
      </c>
      <c r="H174">
        <v>504.95</v>
      </c>
      <c r="I174">
        <v>206.23</v>
      </c>
      <c r="J174">
        <v>153</v>
      </c>
      <c r="K174">
        <v>0.09</v>
      </c>
      <c r="L174">
        <v>0.25</v>
      </c>
      <c r="M174" t="s">
        <v>25</v>
      </c>
    </row>
    <row r="175" spans="1:13" x14ac:dyDescent="0.2">
      <c r="A175">
        <v>174</v>
      </c>
      <c r="B175">
        <v>53</v>
      </c>
      <c r="C175" t="s">
        <v>18</v>
      </c>
      <c r="D175" t="s">
        <v>19</v>
      </c>
      <c r="E175" t="s">
        <v>27</v>
      </c>
      <c r="F175" t="s">
        <v>16</v>
      </c>
      <c r="G175">
        <v>9</v>
      </c>
      <c r="H175">
        <v>605.23</v>
      </c>
      <c r="I175">
        <v>186.24</v>
      </c>
      <c r="J175">
        <v>256</v>
      </c>
      <c r="K175">
        <v>0.09</v>
      </c>
      <c r="L175">
        <v>0.28000000000000003</v>
      </c>
      <c r="M175" t="s">
        <v>17</v>
      </c>
    </row>
    <row r="176" spans="1:13" x14ac:dyDescent="0.2">
      <c r="A176">
        <v>175</v>
      </c>
      <c r="B176">
        <v>43</v>
      </c>
      <c r="C176" t="s">
        <v>18</v>
      </c>
      <c r="D176" t="s">
        <v>26</v>
      </c>
      <c r="E176" t="s">
        <v>24</v>
      </c>
      <c r="F176" t="s">
        <v>22</v>
      </c>
      <c r="G176">
        <v>14</v>
      </c>
      <c r="H176">
        <v>1292.6099999999999</v>
      </c>
      <c r="I176">
        <v>96.25</v>
      </c>
      <c r="J176">
        <v>111</v>
      </c>
      <c r="K176">
        <v>0.71</v>
      </c>
      <c r="L176">
        <v>0.31</v>
      </c>
      <c r="M176" t="s">
        <v>17</v>
      </c>
    </row>
    <row r="177" spans="1:13" x14ac:dyDescent="0.2">
      <c r="A177">
        <v>176</v>
      </c>
      <c r="B177">
        <v>43</v>
      </c>
      <c r="C177" t="s">
        <v>13</v>
      </c>
      <c r="D177" t="s">
        <v>23</v>
      </c>
      <c r="E177" t="s">
        <v>15</v>
      </c>
      <c r="F177" t="s">
        <v>16</v>
      </c>
      <c r="G177">
        <v>14</v>
      </c>
      <c r="H177">
        <v>1234.8399999999999</v>
      </c>
      <c r="I177">
        <v>171.44</v>
      </c>
      <c r="J177">
        <v>292</v>
      </c>
      <c r="K177">
        <v>0.86</v>
      </c>
      <c r="L177">
        <v>0.16</v>
      </c>
      <c r="M177" t="s">
        <v>17</v>
      </c>
    </row>
    <row r="178" spans="1:13" x14ac:dyDescent="0.2">
      <c r="A178">
        <v>177</v>
      </c>
      <c r="B178">
        <v>43</v>
      </c>
      <c r="C178" t="s">
        <v>18</v>
      </c>
      <c r="D178" t="s">
        <v>23</v>
      </c>
      <c r="E178" t="s">
        <v>15</v>
      </c>
      <c r="F178" t="s">
        <v>16</v>
      </c>
      <c r="G178">
        <v>8</v>
      </c>
      <c r="H178">
        <v>2313.62</v>
      </c>
      <c r="I178">
        <v>149.96</v>
      </c>
      <c r="J178">
        <v>81</v>
      </c>
      <c r="K178">
        <v>0.37</v>
      </c>
      <c r="L178">
        <v>0.38</v>
      </c>
      <c r="M178" t="s">
        <v>25</v>
      </c>
    </row>
    <row r="179" spans="1:13" x14ac:dyDescent="0.2">
      <c r="A179">
        <v>178</v>
      </c>
      <c r="B179">
        <v>43</v>
      </c>
      <c r="C179" t="s">
        <v>13</v>
      </c>
      <c r="D179" t="s">
        <v>23</v>
      </c>
      <c r="E179" t="s">
        <v>15</v>
      </c>
      <c r="F179" t="s">
        <v>16</v>
      </c>
      <c r="G179">
        <v>5</v>
      </c>
      <c r="H179">
        <v>2702.5</v>
      </c>
      <c r="I179">
        <v>116.86</v>
      </c>
      <c r="J179">
        <v>245</v>
      </c>
      <c r="K179">
        <v>0.59</v>
      </c>
      <c r="L179">
        <v>0.3</v>
      </c>
      <c r="M179" t="s">
        <v>25</v>
      </c>
    </row>
    <row r="180" spans="1:13" x14ac:dyDescent="0.2">
      <c r="A180">
        <v>179</v>
      </c>
      <c r="B180">
        <v>24</v>
      </c>
      <c r="C180" t="s">
        <v>13</v>
      </c>
      <c r="D180" t="s">
        <v>19</v>
      </c>
      <c r="E180" t="s">
        <v>21</v>
      </c>
      <c r="F180" t="s">
        <v>16</v>
      </c>
      <c r="G180">
        <v>1</v>
      </c>
      <c r="H180">
        <v>1782.84</v>
      </c>
      <c r="I180">
        <v>104.79</v>
      </c>
      <c r="J180">
        <v>137</v>
      </c>
      <c r="K180">
        <v>0.23</v>
      </c>
      <c r="L180">
        <v>0.14000000000000001</v>
      </c>
      <c r="M180" t="s">
        <v>25</v>
      </c>
    </row>
    <row r="181" spans="1:13" x14ac:dyDescent="0.2">
      <c r="A181">
        <v>180</v>
      </c>
      <c r="B181">
        <v>48</v>
      </c>
      <c r="C181" t="s">
        <v>18</v>
      </c>
      <c r="D181" t="s">
        <v>19</v>
      </c>
      <c r="E181" t="s">
        <v>15</v>
      </c>
      <c r="F181" t="s">
        <v>16</v>
      </c>
      <c r="G181">
        <v>9</v>
      </c>
      <c r="H181">
        <v>2090.16</v>
      </c>
      <c r="I181">
        <v>170.99</v>
      </c>
      <c r="J181">
        <v>70</v>
      </c>
      <c r="K181">
        <v>0.82</v>
      </c>
      <c r="L181">
        <v>0.16</v>
      </c>
      <c r="M181" t="s">
        <v>17</v>
      </c>
    </row>
    <row r="182" spans="1:13" x14ac:dyDescent="0.2">
      <c r="A182">
        <v>181</v>
      </c>
      <c r="B182">
        <v>58</v>
      </c>
      <c r="C182" t="s">
        <v>13</v>
      </c>
      <c r="D182" t="s">
        <v>19</v>
      </c>
      <c r="E182" t="s">
        <v>27</v>
      </c>
      <c r="F182" t="s">
        <v>16</v>
      </c>
      <c r="G182">
        <v>19</v>
      </c>
      <c r="H182">
        <v>2252.08</v>
      </c>
      <c r="I182">
        <v>51.48</v>
      </c>
      <c r="J182">
        <v>154</v>
      </c>
      <c r="K182">
        <v>0.62</v>
      </c>
      <c r="L182">
        <v>0.32</v>
      </c>
      <c r="M182" t="s">
        <v>17</v>
      </c>
    </row>
    <row r="183" spans="1:13" x14ac:dyDescent="0.2">
      <c r="A183">
        <v>182</v>
      </c>
      <c r="B183">
        <v>43</v>
      </c>
      <c r="C183" t="s">
        <v>13</v>
      </c>
      <c r="D183" t="s">
        <v>23</v>
      </c>
      <c r="E183" t="s">
        <v>15</v>
      </c>
      <c r="F183" t="s">
        <v>22</v>
      </c>
      <c r="G183">
        <v>10</v>
      </c>
      <c r="H183">
        <v>322.12</v>
      </c>
      <c r="I183">
        <v>219.01</v>
      </c>
      <c r="J183">
        <v>145</v>
      </c>
      <c r="K183">
        <v>0.14000000000000001</v>
      </c>
      <c r="L183">
        <v>0.14000000000000001</v>
      </c>
      <c r="M183" t="s">
        <v>17</v>
      </c>
    </row>
    <row r="184" spans="1:13" x14ac:dyDescent="0.2">
      <c r="A184">
        <v>183</v>
      </c>
      <c r="B184">
        <v>21</v>
      </c>
      <c r="C184" t="s">
        <v>13</v>
      </c>
      <c r="D184" t="s">
        <v>23</v>
      </c>
      <c r="E184" t="s">
        <v>15</v>
      </c>
      <c r="F184" t="s">
        <v>22</v>
      </c>
      <c r="G184">
        <v>11</v>
      </c>
      <c r="H184">
        <v>1120.01</v>
      </c>
      <c r="I184">
        <v>141.99</v>
      </c>
      <c r="J184">
        <v>46</v>
      </c>
      <c r="K184">
        <v>0.05</v>
      </c>
      <c r="L184">
        <v>7.0000000000000007E-2</v>
      </c>
      <c r="M184" t="s">
        <v>17</v>
      </c>
    </row>
    <row r="185" spans="1:13" x14ac:dyDescent="0.2">
      <c r="A185">
        <v>184</v>
      </c>
      <c r="B185">
        <v>30</v>
      </c>
      <c r="C185" t="s">
        <v>13</v>
      </c>
      <c r="D185" t="s">
        <v>19</v>
      </c>
      <c r="E185" t="s">
        <v>15</v>
      </c>
      <c r="F185" t="s">
        <v>22</v>
      </c>
      <c r="G185">
        <v>6</v>
      </c>
      <c r="H185">
        <v>1131.6400000000001</v>
      </c>
      <c r="I185">
        <v>165.76</v>
      </c>
      <c r="J185">
        <v>170</v>
      </c>
      <c r="K185">
        <v>0.63</v>
      </c>
      <c r="L185">
        <v>0.35</v>
      </c>
      <c r="M185" t="s">
        <v>17</v>
      </c>
    </row>
    <row r="186" spans="1:13" x14ac:dyDescent="0.2">
      <c r="A186">
        <v>185</v>
      </c>
      <c r="B186">
        <v>22</v>
      </c>
      <c r="C186" t="s">
        <v>13</v>
      </c>
      <c r="D186" t="s">
        <v>26</v>
      </c>
      <c r="E186" t="s">
        <v>27</v>
      </c>
      <c r="F186" t="s">
        <v>16</v>
      </c>
      <c r="G186">
        <v>9</v>
      </c>
      <c r="H186">
        <v>271.51</v>
      </c>
      <c r="I186">
        <v>215.07</v>
      </c>
      <c r="J186">
        <v>3</v>
      </c>
      <c r="K186">
        <v>0.04</v>
      </c>
      <c r="L186">
        <v>0.21</v>
      </c>
      <c r="M186" t="s">
        <v>25</v>
      </c>
    </row>
    <row r="187" spans="1:13" x14ac:dyDescent="0.2">
      <c r="A187">
        <v>186</v>
      </c>
      <c r="B187">
        <v>31</v>
      </c>
      <c r="C187" t="s">
        <v>13</v>
      </c>
      <c r="D187" t="s">
        <v>14</v>
      </c>
      <c r="E187" t="s">
        <v>15</v>
      </c>
      <c r="F187" t="s">
        <v>16</v>
      </c>
      <c r="G187">
        <v>16</v>
      </c>
      <c r="H187">
        <v>966.36</v>
      </c>
      <c r="I187">
        <v>71.17</v>
      </c>
      <c r="J187">
        <v>249</v>
      </c>
      <c r="K187">
        <v>0.75</v>
      </c>
      <c r="L187">
        <v>0.21</v>
      </c>
      <c r="M187" t="s">
        <v>25</v>
      </c>
    </row>
    <row r="188" spans="1:13" x14ac:dyDescent="0.2">
      <c r="A188">
        <v>187</v>
      </c>
      <c r="B188">
        <v>46</v>
      </c>
      <c r="C188" t="s">
        <v>13</v>
      </c>
      <c r="D188" t="s">
        <v>14</v>
      </c>
      <c r="E188" t="s">
        <v>15</v>
      </c>
      <c r="F188" t="s">
        <v>20</v>
      </c>
      <c r="G188">
        <v>4</v>
      </c>
      <c r="H188">
        <v>567.98</v>
      </c>
      <c r="I188">
        <v>190.13</v>
      </c>
      <c r="J188">
        <v>128</v>
      </c>
      <c r="K188">
        <v>0.26</v>
      </c>
      <c r="L188">
        <v>0.27</v>
      </c>
      <c r="M188" t="s">
        <v>17</v>
      </c>
    </row>
    <row r="189" spans="1:13" x14ac:dyDescent="0.2">
      <c r="A189">
        <v>188</v>
      </c>
      <c r="B189">
        <v>28</v>
      </c>
      <c r="C189" t="s">
        <v>18</v>
      </c>
      <c r="D189" t="s">
        <v>14</v>
      </c>
      <c r="E189" t="s">
        <v>21</v>
      </c>
      <c r="F189" t="s">
        <v>16</v>
      </c>
      <c r="G189">
        <v>11</v>
      </c>
      <c r="H189">
        <v>1984.98</v>
      </c>
      <c r="I189">
        <v>179.01</v>
      </c>
      <c r="J189">
        <v>83</v>
      </c>
      <c r="K189">
        <v>0.21</v>
      </c>
      <c r="L189">
        <v>0.36</v>
      </c>
      <c r="M189" t="s">
        <v>17</v>
      </c>
    </row>
    <row r="190" spans="1:13" x14ac:dyDescent="0.2">
      <c r="A190">
        <v>189</v>
      </c>
      <c r="B190">
        <v>25</v>
      </c>
      <c r="C190" t="s">
        <v>13</v>
      </c>
      <c r="D190" t="s">
        <v>14</v>
      </c>
      <c r="E190" t="s">
        <v>15</v>
      </c>
      <c r="F190" t="s">
        <v>22</v>
      </c>
      <c r="G190">
        <v>15</v>
      </c>
      <c r="H190">
        <v>920.02</v>
      </c>
      <c r="I190">
        <v>53.79</v>
      </c>
      <c r="J190">
        <v>164</v>
      </c>
      <c r="K190">
        <v>0.52</v>
      </c>
      <c r="L190">
        <v>0.05</v>
      </c>
      <c r="M190" t="s">
        <v>17</v>
      </c>
    </row>
    <row r="191" spans="1:13" x14ac:dyDescent="0.2">
      <c r="A191">
        <v>190</v>
      </c>
      <c r="B191">
        <v>39</v>
      </c>
      <c r="C191" t="s">
        <v>18</v>
      </c>
      <c r="D191" t="s">
        <v>14</v>
      </c>
      <c r="E191" t="s">
        <v>27</v>
      </c>
      <c r="F191" t="s">
        <v>22</v>
      </c>
      <c r="G191">
        <v>16</v>
      </c>
      <c r="H191">
        <v>1062.9000000000001</v>
      </c>
      <c r="I191">
        <v>153.19</v>
      </c>
      <c r="J191">
        <v>350</v>
      </c>
      <c r="K191">
        <v>0.28999999999999998</v>
      </c>
      <c r="L191">
        <v>0.14000000000000001</v>
      </c>
      <c r="M191" t="s">
        <v>25</v>
      </c>
    </row>
    <row r="192" spans="1:13" x14ac:dyDescent="0.2">
      <c r="A192">
        <v>191</v>
      </c>
      <c r="B192">
        <v>56</v>
      </c>
      <c r="C192" t="s">
        <v>18</v>
      </c>
      <c r="D192" t="s">
        <v>14</v>
      </c>
      <c r="E192" t="s">
        <v>21</v>
      </c>
      <c r="F192" t="s">
        <v>16</v>
      </c>
      <c r="G192">
        <v>4</v>
      </c>
      <c r="H192">
        <v>2809.41</v>
      </c>
      <c r="I192">
        <v>147.62</v>
      </c>
      <c r="J192">
        <v>313</v>
      </c>
      <c r="K192">
        <v>0.5</v>
      </c>
      <c r="L192">
        <v>0.03</v>
      </c>
      <c r="M192" t="s">
        <v>17</v>
      </c>
    </row>
    <row r="193" spans="1:13" x14ac:dyDescent="0.2">
      <c r="A193">
        <v>192</v>
      </c>
      <c r="B193">
        <v>21</v>
      </c>
      <c r="C193" t="s">
        <v>13</v>
      </c>
      <c r="D193" t="s">
        <v>14</v>
      </c>
      <c r="E193" t="s">
        <v>27</v>
      </c>
      <c r="F193" t="s">
        <v>22</v>
      </c>
      <c r="G193">
        <v>5</v>
      </c>
      <c r="H193">
        <v>1551.2</v>
      </c>
      <c r="I193">
        <v>236.93</v>
      </c>
      <c r="J193">
        <v>306</v>
      </c>
      <c r="K193">
        <v>0.14000000000000001</v>
      </c>
      <c r="L193">
        <v>0.17</v>
      </c>
      <c r="M193" t="s">
        <v>17</v>
      </c>
    </row>
    <row r="194" spans="1:13" x14ac:dyDescent="0.2">
      <c r="A194">
        <v>193</v>
      </c>
      <c r="B194">
        <v>24</v>
      </c>
      <c r="C194" t="s">
        <v>13</v>
      </c>
      <c r="D194" t="s">
        <v>19</v>
      </c>
      <c r="E194" t="s">
        <v>21</v>
      </c>
      <c r="F194" t="s">
        <v>22</v>
      </c>
      <c r="G194">
        <v>17</v>
      </c>
      <c r="H194">
        <v>2915.37</v>
      </c>
      <c r="I194">
        <v>102.8</v>
      </c>
      <c r="J194">
        <v>232</v>
      </c>
      <c r="K194">
        <v>0.82</v>
      </c>
      <c r="L194">
        <v>0.2</v>
      </c>
      <c r="M194" t="s">
        <v>25</v>
      </c>
    </row>
    <row r="195" spans="1:13" x14ac:dyDescent="0.2">
      <c r="A195">
        <v>194</v>
      </c>
      <c r="B195">
        <v>18</v>
      </c>
      <c r="C195" t="s">
        <v>13</v>
      </c>
      <c r="D195" t="s">
        <v>23</v>
      </c>
      <c r="E195" t="s">
        <v>27</v>
      </c>
      <c r="F195" t="s">
        <v>20</v>
      </c>
      <c r="G195">
        <v>2</v>
      </c>
      <c r="H195">
        <v>1911.75</v>
      </c>
      <c r="I195">
        <v>75.25</v>
      </c>
      <c r="J195">
        <v>109</v>
      </c>
      <c r="K195">
        <v>0.28999999999999998</v>
      </c>
      <c r="L195">
        <v>0.34</v>
      </c>
      <c r="M195" t="s">
        <v>25</v>
      </c>
    </row>
    <row r="196" spans="1:13" x14ac:dyDescent="0.2">
      <c r="A196">
        <v>195</v>
      </c>
      <c r="B196">
        <v>54</v>
      </c>
      <c r="C196" t="s">
        <v>18</v>
      </c>
      <c r="D196" t="s">
        <v>19</v>
      </c>
      <c r="E196" t="s">
        <v>15</v>
      </c>
      <c r="F196" t="s">
        <v>22</v>
      </c>
      <c r="G196">
        <v>21</v>
      </c>
      <c r="H196">
        <v>1595.97</v>
      </c>
      <c r="I196">
        <v>121.51</v>
      </c>
      <c r="J196">
        <v>297</v>
      </c>
      <c r="K196">
        <v>0.76</v>
      </c>
      <c r="L196">
        <v>0.27</v>
      </c>
      <c r="M196" t="s">
        <v>17</v>
      </c>
    </row>
    <row r="197" spans="1:13" x14ac:dyDescent="0.2">
      <c r="A197">
        <v>196</v>
      </c>
      <c r="B197">
        <v>27</v>
      </c>
      <c r="C197" t="s">
        <v>18</v>
      </c>
      <c r="D197" t="s">
        <v>19</v>
      </c>
      <c r="E197" t="s">
        <v>21</v>
      </c>
      <c r="F197" t="s">
        <v>16</v>
      </c>
      <c r="G197">
        <v>22</v>
      </c>
      <c r="H197">
        <v>2457.6799999999998</v>
      </c>
      <c r="I197">
        <v>80.05</v>
      </c>
      <c r="J197">
        <v>27</v>
      </c>
      <c r="K197">
        <v>0.14000000000000001</v>
      </c>
      <c r="L197">
        <v>0.23</v>
      </c>
      <c r="M197" t="s">
        <v>17</v>
      </c>
    </row>
    <row r="198" spans="1:13" x14ac:dyDescent="0.2">
      <c r="A198">
        <v>197</v>
      </c>
      <c r="B198">
        <v>52</v>
      </c>
      <c r="C198" t="s">
        <v>13</v>
      </c>
      <c r="D198" t="s">
        <v>19</v>
      </c>
      <c r="E198" t="s">
        <v>27</v>
      </c>
      <c r="F198" t="s">
        <v>22</v>
      </c>
      <c r="G198">
        <v>7</v>
      </c>
      <c r="H198">
        <v>662.99</v>
      </c>
      <c r="I198">
        <v>72.27</v>
      </c>
      <c r="J198">
        <v>108</v>
      </c>
      <c r="K198">
        <v>0.72</v>
      </c>
      <c r="L198">
        <v>0.16</v>
      </c>
      <c r="M198" t="s">
        <v>17</v>
      </c>
    </row>
    <row r="199" spans="1:13" x14ac:dyDescent="0.2">
      <c r="A199">
        <v>198</v>
      </c>
      <c r="B199">
        <v>24</v>
      </c>
      <c r="C199" t="s">
        <v>18</v>
      </c>
      <c r="D199" t="s">
        <v>19</v>
      </c>
      <c r="E199" t="s">
        <v>24</v>
      </c>
      <c r="F199" t="s">
        <v>20</v>
      </c>
      <c r="G199">
        <v>18</v>
      </c>
      <c r="H199">
        <v>2684.77</v>
      </c>
      <c r="I199">
        <v>242.76</v>
      </c>
      <c r="J199">
        <v>185</v>
      </c>
      <c r="K199">
        <v>0.88</v>
      </c>
      <c r="L199">
        <v>0.23</v>
      </c>
      <c r="M199" t="s">
        <v>17</v>
      </c>
    </row>
    <row r="200" spans="1:13" x14ac:dyDescent="0.2">
      <c r="A200">
        <v>199</v>
      </c>
      <c r="B200">
        <v>41</v>
      </c>
      <c r="C200" t="s">
        <v>13</v>
      </c>
      <c r="D200" t="s">
        <v>19</v>
      </c>
      <c r="E200" t="s">
        <v>27</v>
      </c>
      <c r="F200" t="s">
        <v>22</v>
      </c>
      <c r="G200">
        <v>16</v>
      </c>
      <c r="H200">
        <v>1266.17</v>
      </c>
      <c r="I200">
        <v>66.650000000000006</v>
      </c>
      <c r="J200">
        <v>24</v>
      </c>
      <c r="K200">
        <v>0.35</v>
      </c>
      <c r="L200">
        <v>0.11</v>
      </c>
      <c r="M200" t="s">
        <v>25</v>
      </c>
    </row>
    <row r="201" spans="1:13" x14ac:dyDescent="0.2">
      <c r="A201">
        <v>200</v>
      </c>
      <c r="B201">
        <v>57</v>
      </c>
      <c r="C201" t="s">
        <v>13</v>
      </c>
      <c r="D201" t="s">
        <v>14</v>
      </c>
      <c r="E201" t="s">
        <v>15</v>
      </c>
      <c r="F201" t="s">
        <v>20</v>
      </c>
      <c r="G201">
        <v>10</v>
      </c>
      <c r="H201">
        <v>227.5</v>
      </c>
      <c r="I201">
        <v>192.46</v>
      </c>
      <c r="J201">
        <v>225</v>
      </c>
      <c r="K201">
        <v>0.03</v>
      </c>
      <c r="L201">
        <v>0.34</v>
      </c>
      <c r="M201" t="s">
        <v>17</v>
      </c>
    </row>
    <row r="202" spans="1:13" x14ac:dyDescent="0.2">
      <c r="A202">
        <v>201</v>
      </c>
      <c r="B202">
        <v>19</v>
      </c>
      <c r="C202" t="s">
        <v>13</v>
      </c>
      <c r="D202" t="s">
        <v>19</v>
      </c>
      <c r="E202" t="s">
        <v>24</v>
      </c>
      <c r="F202" t="s">
        <v>16</v>
      </c>
      <c r="G202">
        <v>4</v>
      </c>
      <c r="H202">
        <v>1716.61</v>
      </c>
      <c r="I202">
        <v>70.89</v>
      </c>
      <c r="J202">
        <v>94</v>
      </c>
      <c r="K202">
        <v>0.34</v>
      </c>
      <c r="L202">
        <v>0.32</v>
      </c>
      <c r="M202" t="s">
        <v>25</v>
      </c>
    </row>
    <row r="203" spans="1:13" x14ac:dyDescent="0.2">
      <c r="A203">
        <v>202</v>
      </c>
      <c r="B203">
        <v>22</v>
      </c>
      <c r="C203" t="s">
        <v>18</v>
      </c>
      <c r="D203" t="s">
        <v>14</v>
      </c>
      <c r="E203" t="s">
        <v>21</v>
      </c>
      <c r="F203" t="s">
        <v>16</v>
      </c>
      <c r="G203">
        <v>9</v>
      </c>
      <c r="H203">
        <v>364.53</v>
      </c>
      <c r="I203">
        <v>212.58</v>
      </c>
      <c r="J203">
        <v>223</v>
      </c>
      <c r="K203">
        <v>0.57999999999999996</v>
      </c>
      <c r="L203">
        <v>0.34</v>
      </c>
      <c r="M203" t="s">
        <v>17</v>
      </c>
    </row>
    <row r="204" spans="1:13" x14ac:dyDescent="0.2">
      <c r="A204">
        <v>203</v>
      </c>
      <c r="B204">
        <v>31</v>
      </c>
      <c r="C204" t="s">
        <v>18</v>
      </c>
      <c r="D204" t="s">
        <v>26</v>
      </c>
      <c r="E204" t="s">
        <v>27</v>
      </c>
      <c r="F204" t="s">
        <v>20</v>
      </c>
      <c r="G204">
        <v>25</v>
      </c>
      <c r="H204">
        <v>1731.11</v>
      </c>
      <c r="I204">
        <v>169.43</v>
      </c>
      <c r="J204">
        <v>72</v>
      </c>
      <c r="K204">
        <v>0.2</v>
      </c>
      <c r="L204">
        <v>0.06</v>
      </c>
      <c r="M204" t="s">
        <v>25</v>
      </c>
    </row>
    <row r="205" spans="1:13" x14ac:dyDescent="0.2">
      <c r="A205">
        <v>204</v>
      </c>
      <c r="B205">
        <v>57</v>
      </c>
      <c r="C205" t="s">
        <v>13</v>
      </c>
      <c r="D205" t="s">
        <v>23</v>
      </c>
      <c r="E205" t="s">
        <v>24</v>
      </c>
      <c r="F205" t="s">
        <v>20</v>
      </c>
      <c r="G205">
        <v>7</v>
      </c>
      <c r="H205">
        <v>1912.39</v>
      </c>
      <c r="I205">
        <v>63.13</v>
      </c>
      <c r="J205">
        <v>153</v>
      </c>
      <c r="K205">
        <v>0.49</v>
      </c>
      <c r="L205">
        <v>0.27</v>
      </c>
      <c r="M205" t="s">
        <v>25</v>
      </c>
    </row>
    <row r="206" spans="1:13" x14ac:dyDescent="0.2">
      <c r="A206">
        <v>205</v>
      </c>
      <c r="B206">
        <v>42</v>
      </c>
      <c r="C206" t="s">
        <v>18</v>
      </c>
      <c r="D206" t="s">
        <v>14</v>
      </c>
      <c r="E206" t="s">
        <v>15</v>
      </c>
      <c r="F206" t="s">
        <v>22</v>
      </c>
      <c r="G206">
        <v>12</v>
      </c>
      <c r="H206">
        <v>2182.4499999999998</v>
      </c>
      <c r="I206">
        <v>174.15</v>
      </c>
      <c r="J206">
        <v>351</v>
      </c>
      <c r="K206">
        <v>0.08</v>
      </c>
      <c r="L206">
        <v>0.3</v>
      </c>
      <c r="M206" t="s">
        <v>17</v>
      </c>
    </row>
    <row r="207" spans="1:13" x14ac:dyDescent="0.2">
      <c r="A207">
        <v>206</v>
      </c>
      <c r="B207">
        <v>27</v>
      </c>
      <c r="C207" t="s">
        <v>13</v>
      </c>
      <c r="D207" t="s">
        <v>19</v>
      </c>
      <c r="E207" t="s">
        <v>27</v>
      </c>
      <c r="F207" t="s">
        <v>20</v>
      </c>
      <c r="G207">
        <v>14</v>
      </c>
      <c r="H207">
        <v>2090.63</v>
      </c>
      <c r="I207">
        <v>183.09</v>
      </c>
      <c r="J207">
        <v>13</v>
      </c>
      <c r="K207">
        <v>0.42</v>
      </c>
      <c r="L207">
        <v>0.2</v>
      </c>
      <c r="M207" t="s">
        <v>17</v>
      </c>
    </row>
    <row r="208" spans="1:13" x14ac:dyDescent="0.2">
      <c r="A208">
        <v>207</v>
      </c>
      <c r="B208">
        <v>58</v>
      </c>
      <c r="C208" t="s">
        <v>13</v>
      </c>
      <c r="D208" t="s">
        <v>19</v>
      </c>
      <c r="E208" t="s">
        <v>27</v>
      </c>
      <c r="F208" t="s">
        <v>22</v>
      </c>
      <c r="G208">
        <v>9</v>
      </c>
      <c r="H208">
        <v>81.66</v>
      </c>
      <c r="I208">
        <v>72.209999999999994</v>
      </c>
      <c r="J208">
        <v>58</v>
      </c>
      <c r="K208">
        <v>0.66</v>
      </c>
      <c r="L208">
        <v>0.36</v>
      </c>
      <c r="M208" t="s">
        <v>25</v>
      </c>
    </row>
    <row r="209" spans="1:13" x14ac:dyDescent="0.2">
      <c r="A209">
        <v>208</v>
      </c>
      <c r="B209">
        <v>34</v>
      </c>
      <c r="C209" t="s">
        <v>13</v>
      </c>
      <c r="D209" t="s">
        <v>26</v>
      </c>
      <c r="E209" t="s">
        <v>15</v>
      </c>
      <c r="F209" t="s">
        <v>20</v>
      </c>
      <c r="G209">
        <v>8</v>
      </c>
      <c r="H209">
        <v>58.2</v>
      </c>
      <c r="I209">
        <v>125.38</v>
      </c>
      <c r="J209">
        <v>78</v>
      </c>
      <c r="K209">
        <v>0.39</v>
      </c>
      <c r="L209">
        <v>0.36</v>
      </c>
      <c r="M209" t="s">
        <v>25</v>
      </c>
    </row>
    <row r="210" spans="1:13" x14ac:dyDescent="0.2">
      <c r="A210">
        <v>209</v>
      </c>
      <c r="B210">
        <v>40</v>
      </c>
      <c r="C210" t="s">
        <v>18</v>
      </c>
      <c r="D210" t="s">
        <v>23</v>
      </c>
      <c r="E210" t="s">
        <v>21</v>
      </c>
      <c r="F210" t="s">
        <v>22</v>
      </c>
      <c r="G210">
        <v>8</v>
      </c>
      <c r="H210">
        <v>2146.38</v>
      </c>
      <c r="I210">
        <v>144.47999999999999</v>
      </c>
      <c r="J210">
        <v>5</v>
      </c>
      <c r="K210">
        <v>0.61</v>
      </c>
      <c r="L210">
        <v>0.3</v>
      </c>
      <c r="M210" t="s">
        <v>25</v>
      </c>
    </row>
    <row r="211" spans="1:13" x14ac:dyDescent="0.2">
      <c r="A211">
        <v>210</v>
      </c>
      <c r="B211">
        <v>56</v>
      </c>
      <c r="C211" t="s">
        <v>18</v>
      </c>
      <c r="D211" t="s">
        <v>26</v>
      </c>
      <c r="E211" t="s">
        <v>27</v>
      </c>
      <c r="F211" t="s">
        <v>20</v>
      </c>
      <c r="G211">
        <v>4</v>
      </c>
      <c r="H211">
        <v>1681.15</v>
      </c>
      <c r="I211">
        <v>180.25</v>
      </c>
      <c r="J211">
        <v>69</v>
      </c>
      <c r="K211">
        <v>0.1</v>
      </c>
      <c r="L211">
        <v>0.33</v>
      </c>
      <c r="M211" t="s">
        <v>25</v>
      </c>
    </row>
    <row r="212" spans="1:13" x14ac:dyDescent="0.2">
      <c r="A212">
        <v>211</v>
      </c>
      <c r="B212">
        <v>41</v>
      </c>
      <c r="C212" t="s">
        <v>18</v>
      </c>
      <c r="D212" t="s">
        <v>26</v>
      </c>
      <c r="E212" t="s">
        <v>21</v>
      </c>
      <c r="F212" t="s">
        <v>16</v>
      </c>
      <c r="G212">
        <v>13</v>
      </c>
      <c r="H212">
        <v>2755.24</v>
      </c>
      <c r="I212">
        <v>189.18</v>
      </c>
      <c r="J212">
        <v>155</v>
      </c>
      <c r="K212">
        <v>0.75</v>
      </c>
      <c r="L212">
        <v>0.26</v>
      </c>
      <c r="M212" t="s">
        <v>17</v>
      </c>
    </row>
    <row r="213" spans="1:13" x14ac:dyDescent="0.2">
      <c r="A213">
        <v>212</v>
      </c>
      <c r="B213">
        <v>48</v>
      </c>
      <c r="C213" t="s">
        <v>13</v>
      </c>
      <c r="D213" t="s">
        <v>26</v>
      </c>
      <c r="E213" t="s">
        <v>24</v>
      </c>
      <c r="F213" t="s">
        <v>16</v>
      </c>
      <c r="G213">
        <v>10</v>
      </c>
      <c r="H213">
        <v>1222.82</v>
      </c>
      <c r="I213">
        <v>229.13</v>
      </c>
      <c r="J213">
        <v>78</v>
      </c>
      <c r="K213">
        <v>0.11</v>
      </c>
      <c r="L213">
        <v>0.35</v>
      </c>
      <c r="M213" t="s">
        <v>17</v>
      </c>
    </row>
    <row r="214" spans="1:13" x14ac:dyDescent="0.2">
      <c r="A214">
        <v>213</v>
      </c>
      <c r="B214">
        <v>25</v>
      </c>
      <c r="C214" t="s">
        <v>18</v>
      </c>
      <c r="D214" t="s">
        <v>23</v>
      </c>
      <c r="E214" t="s">
        <v>21</v>
      </c>
      <c r="F214" t="s">
        <v>16</v>
      </c>
      <c r="G214">
        <v>14</v>
      </c>
      <c r="H214">
        <v>340.57</v>
      </c>
      <c r="I214">
        <v>150.38</v>
      </c>
      <c r="J214">
        <v>258</v>
      </c>
      <c r="K214">
        <v>0.83</v>
      </c>
      <c r="L214">
        <v>0.05</v>
      </c>
      <c r="M214" t="s">
        <v>17</v>
      </c>
    </row>
    <row r="215" spans="1:13" x14ac:dyDescent="0.2">
      <c r="A215">
        <v>214</v>
      </c>
      <c r="B215">
        <v>25</v>
      </c>
      <c r="C215" t="s">
        <v>18</v>
      </c>
      <c r="D215" t="s">
        <v>19</v>
      </c>
      <c r="E215" t="s">
        <v>15</v>
      </c>
      <c r="F215" t="s">
        <v>22</v>
      </c>
      <c r="G215">
        <v>6</v>
      </c>
      <c r="H215">
        <v>95.55</v>
      </c>
      <c r="I215">
        <v>215.85</v>
      </c>
      <c r="J215">
        <v>181</v>
      </c>
      <c r="K215">
        <v>0.9</v>
      </c>
      <c r="L215">
        <v>0.28000000000000003</v>
      </c>
      <c r="M215" t="s">
        <v>17</v>
      </c>
    </row>
    <row r="216" spans="1:13" x14ac:dyDescent="0.2">
      <c r="A216">
        <v>215</v>
      </c>
      <c r="B216">
        <v>49</v>
      </c>
      <c r="C216" t="s">
        <v>13</v>
      </c>
      <c r="D216" t="s">
        <v>23</v>
      </c>
      <c r="E216" t="s">
        <v>15</v>
      </c>
      <c r="F216" t="s">
        <v>20</v>
      </c>
      <c r="G216">
        <v>2</v>
      </c>
      <c r="H216">
        <v>137.12</v>
      </c>
      <c r="I216">
        <v>176.28</v>
      </c>
      <c r="J216">
        <v>50</v>
      </c>
      <c r="K216">
        <v>0.85</v>
      </c>
      <c r="L216">
        <v>0.28000000000000003</v>
      </c>
      <c r="M216" t="s">
        <v>25</v>
      </c>
    </row>
    <row r="217" spans="1:13" x14ac:dyDescent="0.2">
      <c r="A217">
        <v>216</v>
      </c>
      <c r="B217">
        <v>47</v>
      </c>
      <c r="C217" t="s">
        <v>13</v>
      </c>
      <c r="D217" t="s">
        <v>14</v>
      </c>
      <c r="E217" t="s">
        <v>24</v>
      </c>
      <c r="F217" t="s">
        <v>16</v>
      </c>
      <c r="G217">
        <v>24</v>
      </c>
      <c r="H217">
        <v>566.82000000000005</v>
      </c>
      <c r="I217">
        <v>204.08</v>
      </c>
      <c r="J217">
        <v>87</v>
      </c>
      <c r="K217">
        <v>0.47</v>
      </c>
      <c r="L217">
        <v>0.24</v>
      </c>
      <c r="M217" t="s">
        <v>25</v>
      </c>
    </row>
    <row r="218" spans="1:13" x14ac:dyDescent="0.2">
      <c r="A218">
        <v>217</v>
      </c>
      <c r="B218">
        <v>48</v>
      </c>
      <c r="C218" t="s">
        <v>13</v>
      </c>
      <c r="D218" t="s">
        <v>26</v>
      </c>
      <c r="E218" t="s">
        <v>15</v>
      </c>
      <c r="F218" t="s">
        <v>16</v>
      </c>
      <c r="G218">
        <v>10</v>
      </c>
      <c r="H218">
        <v>2318.4499999999998</v>
      </c>
      <c r="I218">
        <v>50.89</v>
      </c>
      <c r="J218">
        <v>238</v>
      </c>
      <c r="K218">
        <v>0.26</v>
      </c>
      <c r="L218">
        <v>0.11</v>
      </c>
      <c r="M218" t="s">
        <v>17</v>
      </c>
    </row>
    <row r="219" spans="1:13" x14ac:dyDescent="0.2">
      <c r="A219">
        <v>218</v>
      </c>
      <c r="B219">
        <v>48</v>
      </c>
      <c r="C219" t="s">
        <v>13</v>
      </c>
      <c r="D219" t="s">
        <v>14</v>
      </c>
      <c r="E219" t="s">
        <v>24</v>
      </c>
      <c r="F219" t="s">
        <v>22</v>
      </c>
      <c r="G219">
        <v>5</v>
      </c>
      <c r="H219">
        <v>1722.73</v>
      </c>
      <c r="I219">
        <v>135.72</v>
      </c>
      <c r="J219">
        <v>350</v>
      </c>
      <c r="K219">
        <v>0.31</v>
      </c>
      <c r="L219">
        <v>0.03</v>
      </c>
      <c r="M219" t="s">
        <v>17</v>
      </c>
    </row>
    <row r="220" spans="1:13" x14ac:dyDescent="0.2">
      <c r="A220">
        <v>219</v>
      </c>
      <c r="B220">
        <v>37</v>
      </c>
      <c r="C220" t="s">
        <v>18</v>
      </c>
      <c r="D220" t="s">
        <v>19</v>
      </c>
      <c r="E220" t="s">
        <v>24</v>
      </c>
      <c r="F220" t="s">
        <v>22</v>
      </c>
      <c r="G220">
        <v>21</v>
      </c>
      <c r="H220">
        <v>2619.86</v>
      </c>
      <c r="I220">
        <v>136.66</v>
      </c>
      <c r="J220">
        <v>204</v>
      </c>
      <c r="K220">
        <v>0.68</v>
      </c>
      <c r="L220">
        <v>0.24</v>
      </c>
      <c r="M220" t="s">
        <v>17</v>
      </c>
    </row>
    <row r="221" spans="1:13" x14ac:dyDescent="0.2">
      <c r="A221">
        <v>220</v>
      </c>
      <c r="B221">
        <v>23</v>
      </c>
      <c r="C221" t="s">
        <v>18</v>
      </c>
      <c r="D221" t="s">
        <v>26</v>
      </c>
      <c r="E221" t="s">
        <v>21</v>
      </c>
      <c r="F221" t="s">
        <v>20</v>
      </c>
      <c r="G221">
        <v>1</v>
      </c>
      <c r="H221">
        <v>2691.92</v>
      </c>
      <c r="I221">
        <v>212.87</v>
      </c>
      <c r="J221">
        <v>47</v>
      </c>
      <c r="K221">
        <v>0.45</v>
      </c>
      <c r="L221">
        <v>0.33</v>
      </c>
      <c r="M221" t="s">
        <v>17</v>
      </c>
    </row>
    <row r="222" spans="1:13" x14ac:dyDescent="0.2">
      <c r="A222">
        <v>221</v>
      </c>
      <c r="B222">
        <v>27</v>
      </c>
      <c r="C222" t="s">
        <v>18</v>
      </c>
      <c r="D222" t="s">
        <v>26</v>
      </c>
      <c r="E222" t="s">
        <v>24</v>
      </c>
      <c r="F222" t="s">
        <v>16</v>
      </c>
      <c r="G222">
        <v>15</v>
      </c>
      <c r="H222">
        <v>1567.29</v>
      </c>
      <c r="I222">
        <v>238.06</v>
      </c>
      <c r="J222">
        <v>213</v>
      </c>
      <c r="K222">
        <v>0.84</v>
      </c>
      <c r="L222">
        <v>0.11</v>
      </c>
      <c r="M222" t="s">
        <v>25</v>
      </c>
    </row>
    <row r="223" spans="1:13" x14ac:dyDescent="0.2">
      <c r="A223">
        <v>222</v>
      </c>
      <c r="B223">
        <v>24</v>
      </c>
      <c r="C223" t="s">
        <v>13</v>
      </c>
      <c r="D223" t="s">
        <v>19</v>
      </c>
      <c r="E223" t="s">
        <v>27</v>
      </c>
      <c r="F223" t="s">
        <v>16</v>
      </c>
      <c r="G223">
        <v>17</v>
      </c>
      <c r="H223">
        <v>473.97</v>
      </c>
      <c r="I223">
        <v>164.12</v>
      </c>
      <c r="J223">
        <v>174</v>
      </c>
      <c r="K223">
        <v>0.08</v>
      </c>
      <c r="L223">
        <v>0.09</v>
      </c>
      <c r="M223" t="s">
        <v>25</v>
      </c>
    </row>
    <row r="224" spans="1:13" x14ac:dyDescent="0.2">
      <c r="A224">
        <v>223</v>
      </c>
      <c r="B224">
        <v>39</v>
      </c>
      <c r="C224" t="s">
        <v>13</v>
      </c>
      <c r="D224" t="s">
        <v>19</v>
      </c>
      <c r="E224" t="s">
        <v>27</v>
      </c>
      <c r="F224" t="s">
        <v>20</v>
      </c>
      <c r="G224">
        <v>11</v>
      </c>
      <c r="H224">
        <v>635.71</v>
      </c>
      <c r="I224">
        <v>240.89</v>
      </c>
      <c r="J224">
        <v>329</v>
      </c>
      <c r="K224">
        <v>0.44</v>
      </c>
      <c r="L224">
        <v>0.09</v>
      </c>
      <c r="M224" t="s">
        <v>17</v>
      </c>
    </row>
    <row r="225" spans="1:13" x14ac:dyDescent="0.2">
      <c r="A225">
        <v>224</v>
      </c>
      <c r="B225">
        <v>34</v>
      </c>
      <c r="C225" t="s">
        <v>18</v>
      </c>
      <c r="D225" t="s">
        <v>26</v>
      </c>
      <c r="E225" t="s">
        <v>21</v>
      </c>
      <c r="F225" t="s">
        <v>20</v>
      </c>
      <c r="G225">
        <v>17</v>
      </c>
      <c r="H225">
        <v>1825.14</v>
      </c>
      <c r="I225">
        <v>138.49</v>
      </c>
      <c r="J225">
        <v>341</v>
      </c>
      <c r="K225">
        <v>0.78</v>
      </c>
      <c r="L225">
        <v>0.04</v>
      </c>
      <c r="M225" t="s">
        <v>25</v>
      </c>
    </row>
    <row r="226" spans="1:13" x14ac:dyDescent="0.2">
      <c r="A226">
        <v>225</v>
      </c>
      <c r="B226">
        <v>48</v>
      </c>
      <c r="C226" t="s">
        <v>13</v>
      </c>
      <c r="D226" t="s">
        <v>14</v>
      </c>
      <c r="E226" t="s">
        <v>27</v>
      </c>
      <c r="F226" t="s">
        <v>22</v>
      </c>
      <c r="G226">
        <v>5</v>
      </c>
      <c r="H226">
        <v>478.79</v>
      </c>
      <c r="I226">
        <v>125.8</v>
      </c>
      <c r="J226">
        <v>204</v>
      </c>
      <c r="K226">
        <v>0.54</v>
      </c>
      <c r="L226">
        <v>0.27</v>
      </c>
      <c r="M226" t="s">
        <v>25</v>
      </c>
    </row>
    <row r="227" spans="1:13" x14ac:dyDescent="0.2">
      <c r="A227">
        <v>226</v>
      </c>
      <c r="B227">
        <v>28</v>
      </c>
      <c r="C227" t="s">
        <v>18</v>
      </c>
      <c r="D227" t="s">
        <v>19</v>
      </c>
      <c r="E227" t="s">
        <v>15</v>
      </c>
      <c r="F227" t="s">
        <v>22</v>
      </c>
      <c r="G227">
        <v>15</v>
      </c>
      <c r="H227">
        <v>1579.35</v>
      </c>
      <c r="I227">
        <v>177.77</v>
      </c>
      <c r="J227">
        <v>172</v>
      </c>
      <c r="K227">
        <v>0.49</v>
      </c>
      <c r="L227">
        <v>0.39</v>
      </c>
      <c r="M227" t="s">
        <v>17</v>
      </c>
    </row>
    <row r="228" spans="1:13" x14ac:dyDescent="0.2">
      <c r="A228">
        <v>227</v>
      </c>
      <c r="B228">
        <v>51</v>
      </c>
      <c r="C228" t="s">
        <v>18</v>
      </c>
      <c r="D228" t="s">
        <v>23</v>
      </c>
      <c r="E228" t="s">
        <v>15</v>
      </c>
      <c r="F228" t="s">
        <v>16</v>
      </c>
      <c r="G228">
        <v>1</v>
      </c>
      <c r="H228">
        <v>1552.99</v>
      </c>
      <c r="I228">
        <v>145.19</v>
      </c>
      <c r="J228">
        <v>17</v>
      </c>
      <c r="K228">
        <v>0.08</v>
      </c>
      <c r="L228">
        <v>0.32</v>
      </c>
      <c r="M228" t="s">
        <v>17</v>
      </c>
    </row>
    <row r="229" spans="1:13" x14ac:dyDescent="0.2">
      <c r="A229">
        <v>228</v>
      </c>
      <c r="B229">
        <v>19</v>
      </c>
      <c r="C229" t="s">
        <v>13</v>
      </c>
      <c r="D229" t="s">
        <v>14</v>
      </c>
      <c r="E229" t="s">
        <v>27</v>
      </c>
      <c r="F229" t="s">
        <v>20</v>
      </c>
      <c r="G229">
        <v>17</v>
      </c>
      <c r="H229">
        <v>135.65</v>
      </c>
      <c r="I229">
        <v>242.63</v>
      </c>
      <c r="J229">
        <v>300</v>
      </c>
      <c r="K229">
        <v>0.13</v>
      </c>
      <c r="L229">
        <v>0.14000000000000001</v>
      </c>
      <c r="M229" t="s">
        <v>17</v>
      </c>
    </row>
    <row r="230" spans="1:13" x14ac:dyDescent="0.2">
      <c r="A230">
        <v>229</v>
      </c>
      <c r="B230">
        <v>31</v>
      </c>
      <c r="C230" t="s">
        <v>13</v>
      </c>
      <c r="D230" t="s">
        <v>26</v>
      </c>
      <c r="E230" t="s">
        <v>21</v>
      </c>
      <c r="F230" t="s">
        <v>16</v>
      </c>
      <c r="G230">
        <v>10</v>
      </c>
      <c r="H230">
        <v>274.58</v>
      </c>
      <c r="I230">
        <v>64.08</v>
      </c>
      <c r="J230">
        <v>121</v>
      </c>
      <c r="K230">
        <v>0.24</v>
      </c>
      <c r="L230">
        <v>0.28000000000000003</v>
      </c>
      <c r="M230" t="s">
        <v>25</v>
      </c>
    </row>
    <row r="231" spans="1:13" x14ac:dyDescent="0.2">
      <c r="A231">
        <v>230</v>
      </c>
      <c r="B231">
        <v>51</v>
      </c>
      <c r="C231" t="s">
        <v>18</v>
      </c>
      <c r="D231" t="s">
        <v>26</v>
      </c>
      <c r="E231" t="s">
        <v>21</v>
      </c>
      <c r="F231" t="s">
        <v>16</v>
      </c>
      <c r="G231">
        <v>6</v>
      </c>
      <c r="H231">
        <v>2846.12</v>
      </c>
      <c r="I231">
        <v>129.27000000000001</v>
      </c>
      <c r="J231">
        <v>104</v>
      </c>
      <c r="K231">
        <v>0.8</v>
      </c>
      <c r="L231">
        <v>0.03</v>
      </c>
      <c r="M231" t="s">
        <v>25</v>
      </c>
    </row>
    <row r="232" spans="1:13" x14ac:dyDescent="0.2">
      <c r="A232">
        <v>231</v>
      </c>
      <c r="B232">
        <v>41</v>
      </c>
      <c r="C232" t="s">
        <v>18</v>
      </c>
      <c r="D232" t="s">
        <v>14</v>
      </c>
      <c r="E232" t="s">
        <v>27</v>
      </c>
      <c r="F232" t="s">
        <v>16</v>
      </c>
      <c r="G232">
        <v>12</v>
      </c>
      <c r="H232">
        <v>1496.76</v>
      </c>
      <c r="I232">
        <v>41.42</v>
      </c>
      <c r="J232">
        <v>322</v>
      </c>
      <c r="K232">
        <v>0.76</v>
      </c>
      <c r="L232">
        <v>0.34</v>
      </c>
      <c r="M232" t="s">
        <v>17</v>
      </c>
    </row>
    <row r="233" spans="1:13" x14ac:dyDescent="0.2">
      <c r="A233">
        <v>232</v>
      </c>
      <c r="B233">
        <v>27</v>
      </c>
      <c r="C233" t="s">
        <v>18</v>
      </c>
      <c r="D233" t="s">
        <v>19</v>
      </c>
      <c r="E233" t="s">
        <v>21</v>
      </c>
      <c r="F233" t="s">
        <v>22</v>
      </c>
      <c r="G233">
        <v>14</v>
      </c>
      <c r="H233">
        <v>1429.18</v>
      </c>
      <c r="I233">
        <v>105.87</v>
      </c>
      <c r="J233">
        <v>354</v>
      </c>
      <c r="K233">
        <v>0.2</v>
      </c>
      <c r="L233">
        <v>0.13</v>
      </c>
      <c r="M233" t="s">
        <v>25</v>
      </c>
    </row>
    <row r="234" spans="1:13" x14ac:dyDescent="0.2">
      <c r="A234">
        <v>233</v>
      </c>
      <c r="B234">
        <v>52</v>
      </c>
      <c r="C234" t="s">
        <v>18</v>
      </c>
      <c r="D234" t="s">
        <v>26</v>
      </c>
      <c r="E234" t="s">
        <v>27</v>
      </c>
      <c r="F234" t="s">
        <v>20</v>
      </c>
      <c r="G234">
        <v>2</v>
      </c>
      <c r="H234">
        <v>1320.33</v>
      </c>
      <c r="I234">
        <v>162.32</v>
      </c>
      <c r="J234">
        <v>8</v>
      </c>
      <c r="K234">
        <v>0.83</v>
      </c>
      <c r="L234">
        <v>0</v>
      </c>
      <c r="M234" t="s">
        <v>17</v>
      </c>
    </row>
    <row r="235" spans="1:13" x14ac:dyDescent="0.2">
      <c r="A235">
        <v>234</v>
      </c>
      <c r="B235">
        <v>19</v>
      </c>
      <c r="C235" t="s">
        <v>18</v>
      </c>
      <c r="D235" t="s">
        <v>14</v>
      </c>
      <c r="E235" t="s">
        <v>15</v>
      </c>
      <c r="F235" t="s">
        <v>20</v>
      </c>
      <c r="G235">
        <v>14</v>
      </c>
      <c r="H235">
        <v>2410.88</v>
      </c>
      <c r="I235">
        <v>113</v>
      </c>
      <c r="J235">
        <v>20</v>
      </c>
      <c r="K235">
        <v>0.03</v>
      </c>
      <c r="L235">
        <v>0.25</v>
      </c>
      <c r="M235" t="s">
        <v>25</v>
      </c>
    </row>
    <row r="236" spans="1:13" x14ac:dyDescent="0.2">
      <c r="A236">
        <v>235</v>
      </c>
      <c r="B236">
        <v>51</v>
      </c>
      <c r="C236" t="s">
        <v>18</v>
      </c>
      <c r="D236" t="s">
        <v>14</v>
      </c>
      <c r="E236" t="s">
        <v>24</v>
      </c>
      <c r="F236" t="s">
        <v>16</v>
      </c>
      <c r="G236">
        <v>7</v>
      </c>
      <c r="H236">
        <v>1967.8</v>
      </c>
      <c r="I236">
        <v>30.86</v>
      </c>
      <c r="J236">
        <v>70</v>
      </c>
      <c r="K236">
        <v>0.54</v>
      </c>
      <c r="L236">
        <v>0.06</v>
      </c>
      <c r="M236" t="s">
        <v>25</v>
      </c>
    </row>
    <row r="237" spans="1:13" x14ac:dyDescent="0.2">
      <c r="A237">
        <v>236</v>
      </c>
      <c r="B237">
        <v>37</v>
      </c>
      <c r="C237" t="s">
        <v>13</v>
      </c>
      <c r="D237" t="s">
        <v>19</v>
      </c>
      <c r="E237" t="s">
        <v>15</v>
      </c>
      <c r="F237" t="s">
        <v>22</v>
      </c>
      <c r="G237">
        <v>9</v>
      </c>
      <c r="H237">
        <v>2069.4699999999998</v>
      </c>
      <c r="I237">
        <v>29.6</v>
      </c>
      <c r="J237">
        <v>259</v>
      </c>
      <c r="K237">
        <v>0.87</v>
      </c>
      <c r="L237">
        <v>0.11</v>
      </c>
      <c r="M237" t="s">
        <v>25</v>
      </c>
    </row>
    <row r="238" spans="1:13" x14ac:dyDescent="0.2">
      <c r="A238">
        <v>237</v>
      </c>
      <c r="B238">
        <v>59</v>
      </c>
      <c r="C238" t="s">
        <v>13</v>
      </c>
      <c r="D238" t="s">
        <v>26</v>
      </c>
      <c r="E238" t="s">
        <v>15</v>
      </c>
      <c r="F238" t="s">
        <v>22</v>
      </c>
      <c r="G238">
        <v>19</v>
      </c>
      <c r="H238">
        <v>1757.59</v>
      </c>
      <c r="I238">
        <v>181.44</v>
      </c>
      <c r="J238">
        <v>305</v>
      </c>
      <c r="K238">
        <v>0.31</v>
      </c>
      <c r="L238">
        <v>0.02</v>
      </c>
      <c r="M238" t="s">
        <v>17</v>
      </c>
    </row>
    <row r="239" spans="1:13" x14ac:dyDescent="0.2">
      <c r="A239">
        <v>238</v>
      </c>
      <c r="B239">
        <v>23</v>
      </c>
      <c r="C239" t="s">
        <v>18</v>
      </c>
      <c r="D239" t="s">
        <v>19</v>
      </c>
      <c r="E239" t="s">
        <v>21</v>
      </c>
      <c r="F239" t="s">
        <v>16</v>
      </c>
      <c r="G239">
        <v>6</v>
      </c>
      <c r="H239">
        <v>474.59</v>
      </c>
      <c r="I239">
        <v>239.79</v>
      </c>
      <c r="J239">
        <v>119</v>
      </c>
      <c r="K239">
        <v>0.85</v>
      </c>
      <c r="L239">
        <v>0.18</v>
      </c>
      <c r="M239" t="s">
        <v>17</v>
      </c>
    </row>
    <row r="240" spans="1:13" x14ac:dyDescent="0.2">
      <c r="A240">
        <v>239</v>
      </c>
      <c r="B240">
        <v>34</v>
      </c>
      <c r="C240" t="s">
        <v>13</v>
      </c>
      <c r="D240" t="s">
        <v>14</v>
      </c>
      <c r="E240" t="s">
        <v>24</v>
      </c>
      <c r="F240" t="s">
        <v>20</v>
      </c>
      <c r="G240">
        <v>5</v>
      </c>
      <c r="H240">
        <v>752.88</v>
      </c>
      <c r="I240">
        <v>125.73</v>
      </c>
      <c r="J240">
        <v>295</v>
      </c>
      <c r="K240">
        <v>0.59</v>
      </c>
      <c r="L240">
        <v>0.22</v>
      </c>
      <c r="M240" t="s">
        <v>25</v>
      </c>
    </row>
    <row r="241" spans="1:13" x14ac:dyDescent="0.2">
      <c r="A241">
        <v>240</v>
      </c>
      <c r="B241">
        <v>51</v>
      </c>
      <c r="C241" t="s">
        <v>18</v>
      </c>
      <c r="D241" t="s">
        <v>26</v>
      </c>
      <c r="E241" t="s">
        <v>21</v>
      </c>
      <c r="F241" t="s">
        <v>22</v>
      </c>
      <c r="G241">
        <v>6</v>
      </c>
      <c r="H241">
        <v>862.57</v>
      </c>
      <c r="I241">
        <v>47.72</v>
      </c>
      <c r="J241">
        <v>221</v>
      </c>
      <c r="K241">
        <v>0.05</v>
      </c>
      <c r="L241">
        <v>0.32</v>
      </c>
      <c r="M241" t="s">
        <v>25</v>
      </c>
    </row>
    <row r="242" spans="1:13" x14ac:dyDescent="0.2">
      <c r="A242">
        <v>241</v>
      </c>
      <c r="B242">
        <v>41</v>
      </c>
      <c r="C242" t="s">
        <v>13</v>
      </c>
      <c r="D242" t="s">
        <v>19</v>
      </c>
      <c r="E242" t="s">
        <v>24</v>
      </c>
      <c r="F242" t="s">
        <v>22</v>
      </c>
      <c r="G242">
        <v>17</v>
      </c>
      <c r="H242">
        <v>147.03</v>
      </c>
      <c r="I242">
        <v>51.19</v>
      </c>
      <c r="J242">
        <v>358</v>
      </c>
      <c r="K242">
        <v>0.3</v>
      </c>
      <c r="L242">
        <v>0.02</v>
      </c>
      <c r="M242" t="s">
        <v>17</v>
      </c>
    </row>
    <row r="243" spans="1:13" x14ac:dyDescent="0.2">
      <c r="A243">
        <v>242</v>
      </c>
      <c r="B243">
        <v>28</v>
      </c>
      <c r="C243" t="s">
        <v>18</v>
      </c>
      <c r="D243" t="s">
        <v>26</v>
      </c>
      <c r="E243" t="s">
        <v>21</v>
      </c>
      <c r="F243" t="s">
        <v>16</v>
      </c>
      <c r="G243">
        <v>25</v>
      </c>
      <c r="H243">
        <v>1904.66</v>
      </c>
      <c r="I243">
        <v>228.96</v>
      </c>
      <c r="J243">
        <v>54</v>
      </c>
      <c r="K243">
        <v>0.4</v>
      </c>
      <c r="L243">
        <v>0.33</v>
      </c>
      <c r="M243" t="s">
        <v>25</v>
      </c>
    </row>
    <row r="244" spans="1:13" x14ac:dyDescent="0.2">
      <c r="A244">
        <v>243</v>
      </c>
      <c r="B244">
        <v>40</v>
      </c>
      <c r="C244" t="s">
        <v>18</v>
      </c>
      <c r="D244" t="s">
        <v>14</v>
      </c>
      <c r="E244" t="s">
        <v>24</v>
      </c>
      <c r="F244" t="s">
        <v>22</v>
      </c>
      <c r="G244">
        <v>8</v>
      </c>
      <c r="H244">
        <v>2585.02</v>
      </c>
      <c r="I244">
        <v>40.17</v>
      </c>
      <c r="J244">
        <v>11</v>
      </c>
      <c r="K244">
        <v>0.22</v>
      </c>
      <c r="L244">
        <v>0.04</v>
      </c>
      <c r="M244" t="s">
        <v>17</v>
      </c>
    </row>
    <row r="245" spans="1:13" x14ac:dyDescent="0.2">
      <c r="A245">
        <v>244</v>
      </c>
      <c r="B245">
        <v>32</v>
      </c>
      <c r="C245" t="s">
        <v>13</v>
      </c>
      <c r="D245" t="s">
        <v>23</v>
      </c>
      <c r="E245" t="s">
        <v>27</v>
      </c>
      <c r="F245" t="s">
        <v>20</v>
      </c>
      <c r="G245">
        <v>23</v>
      </c>
      <c r="H245">
        <v>2845.72</v>
      </c>
      <c r="I245">
        <v>247.38</v>
      </c>
      <c r="J245">
        <v>25</v>
      </c>
      <c r="K245">
        <v>0.67</v>
      </c>
      <c r="L245">
        <v>0.09</v>
      </c>
      <c r="M245" t="s">
        <v>25</v>
      </c>
    </row>
    <row r="246" spans="1:13" x14ac:dyDescent="0.2">
      <c r="A246">
        <v>245</v>
      </c>
      <c r="B246">
        <v>52</v>
      </c>
      <c r="C246" t="s">
        <v>18</v>
      </c>
      <c r="D246" t="s">
        <v>14</v>
      </c>
      <c r="E246" t="s">
        <v>15</v>
      </c>
      <c r="F246" t="s">
        <v>22</v>
      </c>
      <c r="G246">
        <v>6</v>
      </c>
      <c r="H246">
        <v>235.92</v>
      </c>
      <c r="I246">
        <v>66.37</v>
      </c>
      <c r="J246">
        <v>163</v>
      </c>
      <c r="K246">
        <v>0.16</v>
      </c>
      <c r="L246">
        <v>0.25</v>
      </c>
      <c r="M246" t="s">
        <v>25</v>
      </c>
    </row>
    <row r="247" spans="1:13" x14ac:dyDescent="0.2">
      <c r="A247">
        <v>246</v>
      </c>
      <c r="B247">
        <v>52</v>
      </c>
      <c r="C247" t="s">
        <v>18</v>
      </c>
      <c r="D247" t="s">
        <v>19</v>
      </c>
      <c r="E247" t="s">
        <v>15</v>
      </c>
      <c r="F247" t="s">
        <v>22</v>
      </c>
      <c r="G247">
        <v>7</v>
      </c>
      <c r="H247">
        <v>615.38</v>
      </c>
      <c r="I247">
        <v>46.38</v>
      </c>
      <c r="J247">
        <v>34</v>
      </c>
      <c r="K247">
        <v>0.71</v>
      </c>
      <c r="L247">
        <v>0.14000000000000001</v>
      </c>
      <c r="M247" t="s">
        <v>17</v>
      </c>
    </row>
    <row r="248" spans="1:13" x14ac:dyDescent="0.2">
      <c r="A248">
        <v>247</v>
      </c>
      <c r="B248">
        <v>50</v>
      </c>
      <c r="C248" t="s">
        <v>18</v>
      </c>
      <c r="D248" t="s">
        <v>14</v>
      </c>
      <c r="E248" t="s">
        <v>24</v>
      </c>
      <c r="F248" t="s">
        <v>16</v>
      </c>
      <c r="G248">
        <v>20</v>
      </c>
      <c r="H248">
        <v>1890.81</v>
      </c>
      <c r="I248">
        <v>187.49</v>
      </c>
      <c r="J248">
        <v>57</v>
      </c>
      <c r="K248">
        <v>0.27</v>
      </c>
      <c r="L248">
        <v>0.13</v>
      </c>
      <c r="M248" t="s">
        <v>17</v>
      </c>
    </row>
    <row r="249" spans="1:13" x14ac:dyDescent="0.2">
      <c r="A249">
        <v>248</v>
      </c>
      <c r="B249">
        <v>39</v>
      </c>
      <c r="C249" t="s">
        <v>13</v>
      </c>
      <c r="D249" t="s">
        <v>26</v>
      </c>
      <c r="E249" t="s">
        <v>21</v>
      </c>
      <c r="F249" t="s">
        <v>16</v>
      </c>
      <c r="G249">
        <v>3</v>
      </c>
      <c r="H249">
        <v>107.67</v>
      </c>
      <c r="I249">
        <v>101.57</v>
      </c>
      <c r="J249">
        <v>62</v>
      </c>
      <c r="K249">
        <v>0.06</v>
      </c>
      <c r="L249">
        <v>0.23</v>
      </c>
      <c r="M249" t="s">
        <v>25</v>
      </c>
    </row>
    <row r="250" spans="1:13" x14ac:dyDescent="0.2">
      <c r="A250">
        <v>249</v>
      </c>
      <c r="B250">
        <v>58</v>
      </c>
      <c r="C250" t="s">
        <v>13</v>
      </c>
      <c r="D250" t="s">
        <v>19</v>
      </c>
      <c r="E250" t="s">
        <v>15</v>
      </c>
      <c r="F250" t="s">
        <v>22</v>
      </c>
      <c r="G250">
        <v>3</v>
      </c>
      <c r="H250">
        <v>699.14</v>
      </c>
      <c r="I250">
        <v>104.41</v>
      </c>
      <c r="J250">
        <v>250</v>
      </c>
      <c r="K250">
        <v>0.5</v>
      </c>
      <c r="L250">
        <v>0.09</v>
      </c>
      <c r="M250" t="s">
        <v>25</v>
      </c>
    </row>
    <row r="251" spans="1:13" x14ac:dyDescent="0.2">
      <c r="A251">
        <v>250</v>
      </c>
      <c r="B251">
        <v>32</v>
      </c>
      <c r="C251" t="s">
        <v>13</v>
      </c>
      <c r="D251" t="s">
        <v>26</v>
      </c>
      <c r="E251" t="s">
        <v>24</v>
      </c>
      <c r="F251" t="s">
        <v>22</v>
      </c>
      <c r="G251">
        <v>20</v>
      </c>
      <c r="H251">
        <v>1218.18</v>
      </c>
      <c r="I251">
        <v>213.54</v>
      </c>
      <c r="J251">
        <v>70</v>
      </c>
      <c r="K251">
        <v>0.09</v>
      </c>
      <c r="L251">
        <v>0.32</v>
      </c>
      <c r="M251" t="s">
        <v>17</v>
      </c>
    </row>
    <row r="252" spans="1:13" x14ac:dyDescent="0.2">
      <c r="A252">
        <v>251</v>
      </c>
      <c r="B252">
        <v>57</v>
      </c>
      <c r="C252" t="s">
        <v>13</v>
      </c>
      <c r="D252" t="s">
        <v>23</v>
      </c>
      <c r="E252" t="s">
        <v>21</v>
      </c>
      <c r="F252" t="s">
        <v>22</v>
      </c>
      <c r="G252">
        <v>24</v>
      </c>
      <c r="H252">
        <v>2303.96</v>
      </c>
      <c r="I252">
        <v>204.95</v>
      </c>
      <c r="J252">
        <v>270</v>
      </c>
      <c r="K252">
        <v>0.5</v>
      </c>
      <c r="L252">
        <v>0.08</v>
      </c>
      <c r="M252" t="s">
        <v>17</v>
      </c>
    </row>
    <row r="253" spans="1:13" x14ac:dyDescent="0.2">
      <c r="A253">
        <v>252</v>
      </c>
      <c r="B253">
        <v>30</v>
      </c>
      <c r="C253" t="s">
        <v>13</v>
      </c>
      <c r="D253" t="s">
        <v>23</v>
      </c>
      <c r="E253" t="s">
        <v>21</v>
      </c>
      <c r="F253" t="s">
        <v>22</v>
      </c>
      <c r="G253">
        <v>16</v>
      </c>
      <c r="H253">
        <v>179.57</v>
      </c>
      <c r="I253">
        <v>189.3</v>
      </c>
      <c r="J253">
        <v>220</v>
      </c>
      <c r="K253">
        <v>0.71</v>
      </c>
      <c r="L253">
        <v>0.34</v>
      </c>
      <c r="M253" t="s">
        <v>17</v>
      </c>
    </row>
    <row r="254" spans="1:13" x14ac:dyDescent="0.2">
      <c r="A254">
        <v>253</v>
      </c>
      <c r="B254">
        <v>33</v>
      </c>
      <c r="C254" t="s">
        <v>18</v>
      </c>
      <c r="D254" t="s">
        <v>26</v>
      </c>
      <c r="E254" t="s">
        <v>15</v>
      </c>
      <c r="F254" t="s">
        <v>22</v>
      </c>
      <c r="G254">
        <v>25</v>
      </c>
      <c r="H254">
        <v>211.02</v>
      </c>
      <c r="I254">
        <v>22.68</v>
      </c>
      <c r="J254">
        <v>2</v>
      </c>
      <c r="K254">
        <v>0.54</v>
      </c>
      <c r="L254">
        <v>0.32</v>
      </c>
      <c r="M254" t="s">
        <v>17</v>
      </c>
    </row>
    <row r="255" spans="1:13" x14ac:dyDescent="0.2">
      <c r="A255">
        <v>254</v>
      </c>
      <c r="B255">
        <v>43</v>
      </c>
      <c r="C255" t="s">
        <v>18</v>
      </c>
      <c r="D255" t="s">
        <v>23</v>
      </c>
      <c r="E255" t="s">
        <v>24</v>
      </c>
      <c r="F255" t="s">
        <v>20</v>
      </c>
      <c r="G255">
        <v>9</v>
      </c>
      <c r="H255">
        <v>752.96</v>
      </c>
      <c r="I255">
        <v>78.790000000000006</v>
      </c>
      <c r="J255">
        <v>92</v>
      </c>
      <c r="K255">
        <v>0.42</v>
      </c>
      <c r="L255">
        <v>0.21</v>
      </c>
      <c r="M255" t="s">
        <v>25</v>
      </c>
    </row>
    <row r="256" spans="1:13" x14ac:dyDescent="0.2">
      <c r="A256">
        <v>255</v>
      </c>
      <c r="B256">
        <v>32</v>
      </c>
      <c r="C256" t="s">
        <v>13</v>
      </c>
      <c r="D256" t="s">
        <v>26</v>
      </c>
      <c r="E256" t="s">
        <v>24</v>
      </c>
      <c r="F256" t="s">
        <v>22</v>
      </c>
      <c r="G256">
        <v>6</v>
      </c>
      <c r="H256">
        <v>707.55</v>
      </c>
      <c r="I256">
        <v>75.040000000000006</v>
      </c>
      <c r="J256">
        <v>115</v>
      </c>
      <c r="K256">
        <v>0.03</v>
      </c>
      <c r="L256">
        <v>0.01</v>
      </c>
      <c r="M256" t="s">
        <v>25</v>
      </c>
    </row>
    <row r="257" spans="1:13" x14ac:dyDescent="0.2">
      <c r="A257">
        <v>256</v>
      </c>
      <c r="B257">
        <v>30</v>
      </c>
      <c r="C257" t="s">
        <v>18</v>
      </c>
      <c r="D257" t="s">
        <v>23</v>
      </c>
      <c r="E257" t="s">
        <v>15</v>
      </c>
      <c r="F257" t="s">
        <v>20</v>
      </c>
      <c r="G257">
        <v>7</v>
      </c>
      <c r="H257">
        <v>520.24</v>
      </c>
      <c r="I257">
        <v>138.03</v>
      </c>
      <c r="J257">
        <v>351</v>
      </c>
      <c r="K257">
        <v>0.46</v>
      </c>
      <c r="L257">
        <v>0.31</v>
      </c>
      <c r="M257" t="s">
        <v>25</v>
      </c>
    </row>
    <row r="258" spans="1:13" x14ac:dyDescent="0.2">
      <c r="A258">
        <v>257</v>
      </c>
      <c r="B258">
        <v>51</v>
      </c>
      <c r="C258" t="s">
        <v>13</v>
      </c>
      <c r="D258" t="s">
        <v>19</v>
      </c>
      <c r="E258" t="s">
        <v>21</v>
      </c>
      <c r="F258" t="s">
        <v>16</v>
      </c>
      <c r="G258">
        <v>5</v>
      </c>
      <c r="H258">
        <v>1781.64</v>
      </c>
      <c r="I258">
        <v>140.68</v>
      </c>
      <c r="J258">
        <v>277</v>
      </c>
      <c r="K258">
        <v>0.09</v>
      </c>
      <c r="L258">
        <v>0.01</v>
      </c>
      <c r="M258" t="s">
        <v>25</v>
      </c>
    </row>
    <row r="259" spans="1:13" x14ac:dyDescent="0.2">
      <c r="A259">
        <v>258</v>
      </c>
      <c r="B259">
        <v>49</v>
      </c>
      <c r="C259" t="s">
        <v>18</v>
      </c>
      <c r="D259" t="s">
        <v>26</v>
      </c>
      <c r="E259" t="s">
        <v>24</v>
      </c>
      <c r="F259" t="s">
        <v>16</v>
      </c>
      <c r="G259">
        <v>20</v>
      </c>
      <c r="H259">
        <v>561.91999999999996</v>
      </c>
      <c r="I259">
        <v>102.1</v>
      </c>
      <c r="J259">
        <v>76</v>
      </c>
      <c r="K259">
        <v>0.57999999999999996</v>
      </c>
      <c r="L259">
        <v>0.2</v>
      </c>
      <c r="M259" t="s">
        <v>17</v>
      </c>
    </row>
    <row r="260" spans="1:13" x14ac:dyDescent="0.2">
      <c r="A260">
        <v>259</v>
      </c>
      <c r="B260">
        <v>40</v>
      </c>
      <c r="C260" t="s">
        <v>13</v>
      </c>
      <c r="D260" t="s">
        <v>19</v>
      </c>
      <c r="E260" t="s">
        <v>24</v>
      </c>
      <c r="F260" t="s">
        <v>22</v>
      </c>
      <c r="G260">
        <v>22</v>
      </c>
      <c r="H260">
        <v>68.180000000000007</v>
      </c>
      <c r="I260">
        <v>132.47</v>
      </c>
      <c r="J260">
        <v>325</v>
      </c>
      <c r="K260">
        <v>0.12</v>
      </c>
      <c r="L260">
        <v>0.17</v>
      </c>
      <c r="M260" t="s">
        <v>25</v>
      </c>
    </row>
    <row r="261" spans="1:13" x14ac:dyDescent="0.2">
      <c r="A261">
        <v>260</v>
      </c>
      <c r="B261">
        <v>19</v>
      </c>
      <c r="C261" t="s">
        <v>18</v>
      </c>
      <c r="D261" t="s">
        <v>23</v>
      </c>
      <c r="E261" t="s">
        <v>15</v>
      </c>
      <c r="F261" t="s">
        <v>20</v>
      </c>
      <c r="G261">
        <v>23</v>
      </c>
      <c r="H261">
        <v>2607.61</v>
      </c>
      <c r="I261">
        <v>207.81</v>
      </c>
      <c r="J261">
        <v>280</v>
      </c>
      <c r="K261">
        <v>0.52</v>
      </c>
      <c r="L261">
        <v>0.03</v>
      </c>
      <c r="M261" t="s">
        <v>17</v>
      </c>
    </row>
    <row r="262" spans="1:13" x14ac:dyDescent="0.2">
      <c r="A262">
        <v>261</v>
      </c>
      <c r="B262">
        <v>19</v>
      </c>
      <c r="C262" t="s">
        <v>18</v>
      </c>
      <c r="D262" t="s">
        <v>14</v>
      </c>
      <c r="E262" t="s">
        <v>15</v>
      </c>
      <c r="F262" t="s">
        <v>16</v>
      </c>
      <c r="G262">
        <v>21</v>
      </c>
      <c r="H262">
        <v>1393.56</v>
      </c>
      <c r="I262">
        <v>101.29</v>
      </c>
      <c r="J262">
        <v>257</v>
      </c>
      <c r="K262">
        <v>0.32</v>
      </c>
      <c r="L262">
        <v>0.25</v>
      </c>
      <c r="M262" t="s">
        <v>17</v>
      </c>
    </row>
    <row r="263" spans="1:13" x14ac:dyDescent="0.2">
      <c r="A263">
        <v>262</v>
      </c>
      <c r="B263">
        <v>35</v>
      </c>
      <c r="C263" t="s">
        <v>18</v>
      </c>
      <c r="D263" t="s">
        <v>23</v>
      </c>
      <c r="E263" t="s">
        <v>24</v>
      </c>
      <c r="F263" t="s">
        <v>16</v>
      </c>
      <c r="G263">
        <v>7</v>
      </c>
      <c r="H263">
        <v>1284.21</v>
      </c>
      <c r="I263">
        <v>101.82</v>
      </c>
      <c r="J263">
        <v>58</v>
      </c>
      <c r="K263">
        <v>0.34</v>
      </c>
      <c r="L263">
        <v>0.28999999999999998</v>
      </c>
      <c r="M263" t="s">
        <v>17</v>
      </c>
    </row>
    <row r="264" spans="1:13" x14ac:dyDescent="0.2">
      <c r="A264">
        <v>263</v>
      </c>
      <c r="B264">
        <v>48</v>
      </c>
      <c r="C264" t="s">
        <v>13</v>
      </c>
      <c r="D264" t="s">
        <v>14</v>
      </c>
      <c r="E264" t="s">
        <v>24</v>
      </c>
      <c r="F264" t="s">
        <v>22</v>
      </c>
      <c r="G264">
        <v>19</v>
      </c>
      <c r="H264">
        <v>793.3</v>
      </c>
      <c r="I264">
        <v>95.29</v>
      </c>
      <c r="J264">
        <v>272</v>
      </c>
      <c r="K264">
        <v>0.6</v>
      </c>
      <c r="L264">
        <v>0.23</v>
      </c>
      <c r="M264" t="s">
        <v>25</v>
      </c>
    </row>
    <row r="265" spans="1:13" x14ac:dyDescent="0.2">
      <c r="A265">
        <v>264</v>
      </c>
      <c r="B265">
        <v>34</v>
      </c>
      <c r="C265" t="s">
        <v>13</v>
      </c>
      <c r="D265" t="s">
        <v>14</v>
      </c>
      <c r="E265" t="s">
        <v>24</v>
      </c>
      <c r="F265" t="s">
        <v>22</v>
      </c>
      <c r="G265">
        <v>10</v>
      </c>
      <c r="H265">
        <v>2666.16</v>
      </c>
      <c r="I265">
        <v>158.69999999999999</v>
      </c>
      <c r="J265">
        <v>182</v>
      </c>
      <c r="K265">
        <v>0.15</v>
      </c>
      <c r="L265">
        <v>0.16</v>
      </c>
      <c r="M265" t="s">
        <v>17</v>
      </c>
    </row>
    <row r="266" spans="1:13" x14ac:dyDescent="0.2">
      <c r="A266">
        <v>265</v>
      </c>
      <c r="B266">
        <v>30</v>
      </c>
      <c r="C266" t="s">
        <v>13</v>
      </c>
      <c r="D266" t="s">
        <v>23</v>
      </c>
      <c r="E266" t="s">
        <v>15</v>
      </c>
      <c r="F266" t="s">
        <v>20</v>
      </c>
      <c r="G266">
        <v>7</v>
      </c>
      <c r="H266">
        <v>2939.65</v>
      </c>
      <c r="I266">
        <v>27.85</v>
      </c>
      <c r="J266">
        <v>255</v>
      </c>
      <c r="K266">
        <v>0.15</v>
      </c>
      <c r="L266">
        <v>0.2</v>
      </c>
      <c r="M266" t="s">
        <v>25</v>
      </c>
    </row>
    <row r="267" spans="1:13" x14ac:dyDescent="0.2">
      <c r="A267">
        <v>266</v>
      </c>
      <c r="B267">
        <v>56</v>
      </c>
      <c r="C267" t="s">
        <v>18</v>
      </c>
      <c r="D267" t="s">
        <v>26</v>
      </c>
      <c r="E267" t="s">
        <v>15</v>
      </c>
      <c r="F267" t="s">
        <v>16</v>
      </c>
      <c r="G267">
        <v>1</v>
      </c>
      <c r="H267">
        <v>249.2</v>
      </c>
      <c r="I267">
        <v>229.35</v>
      </c>
      <c r="J267">
        <v>40</v>
      </c>
      <c r="K267">
        <v>0.85</v>
      </c>
      <c r="L267">
        <v>0.24</v>
      </c>
      <c r="M267" t="s">
        <v>17</v>
      </c>
    </row>
    <row r="268" spans="1:13" x14ac:dyDescent="0.2">
      <c r="A268">
        <v>267</v>
      </c>
      <c r="B268">
        <v>40</v>
      </c>
      <c r="C268" t="s">
        <v>18</v>
      </c>
      <c r="D268" t="s">
        <v>14</v>
      </c>
      <c r="E268" t="s">
        <v>24</v>
      </c>
      <c r="F268" t="s">
        <v>16</v>
      </c>
      <c r="G268">
        <v>3</v>
      </c>
      <c r="H268">
        <v>2047.98</v>
      </c>
      <c r="I268">
        <v>75.760000000000005</v>
      </c>
      <c r="J268">
        <v>179</v>
      </c>
      <c r="K268">
        <v>0.3</v>
      </c>
      <c r="L268">
        <v>0.09</v>
      </c>
      <c r="M268" t="s">
        <v>17</v>
      </c>
    </row>
    <row r="269" spans="1:13" x14ac:dyDescent="0.2">
      <c r="A269">
        <v>268</v>
      </c>
      <c r="B269">
        <v>46</v>
      </c>
      <c r="C269" t="s">
        <v>18</v>
      </c>
      <c r="D269" t="s">
        <v>14</v>
      </c>
      <c r="E269" t="s">
        <v>24</v>
      </c>
      <c r="F269" t="s">
        <v>16</v>
      </c>
      <c r="G269">
        <v>23</v>
      </c>
      <c r="H269">
        <v>2040.98</v>
      </c>
      <c r="I269">
        <v>101.5</v>
      </c>
      <c r="J269">
        <v>111</v>
      </c>
      <c r="K269">
        <v>0.76</v>
      </c>
      <c r="L269">
        <v>0.35</v>
      </c>
      <c r="M269" t="s">
        <v>25</v>
      </c>
    </row>
    <row r="270" spans="1:13" x14ac:dyDescent="0.2">
      <c r="A270">
        <v>269</v>
      </c>
      <c r="B270">
        <v>40</v>
      </c>
      <c r="C270" t="s">
        <v>18</v>
      </c>
      <c r="D270" t="s">
        <v>23</v>
      </c>
      <c r="E270" t="s">
        <v>15</v>
      </c>
      <c r="F270" t="s">
        <v>22</v>
      </c>
      <c r="G270">
        <v>24</v>
      </c>
      <c r="H270">
        <v>1775.22</v>
      </c>
      <c r="I270">
        <v>179.6</v>
      </c>
      <c r="J270">
        <v>115</v>
      </c>
      <c r="K270">
        <v>0.79</v>
      </c>
      <c r="L270">
        <v>0.4</v>
      </c>
      <c r="M270" t="s">
        <v>17</v>
      </c>
    </row>
    <row r="271" spans="1:13" x14ac:dyDescent="0.2">
      <c r="A271">
        <v>270</v>
      </c>
      <c r="B271">
        <v>41</v>
      </c>
      <c r="C271" t="s">
        <v>13</v>
      </c>
      <c r="D271" t="s">
        <v>23</v>
      </c>
      <c r="E271" t="s">
        <v>24</v>
      </c>
      <c r="F271" t="s">
        <v>16</v>
      </c>
      <c r="G271">
        <v>17</v>
      </c>
      <c r="H271">
        <v>1269.81</v>
      </c>
      <c r="I271">
        <v>24.9</v>
      </c>
      <c r="J271">
        <v>38</v>
      </c>
      <c r="K271">
        <v>0.43</v>
      </c>
      <c r="L271">
        <v>0.32</v>
      </c>
      <c r="M271" t="s">
        <v>17</v>
      </c>
    </row>
    <row r="272" spans="1:13" x14ac:dyDescent="0.2">
      <c r="A272">
        <v>271</v>
      </c>
      <c r="B272">
        <v>23</v>
      </c>
      <c r="C272" t="s">
        <v>18</v>
      </c>
      <c r="D272" t="s">
        <v>26</v>
      </c>
      <c r="E272" t="s">
        <v>15</v>
      </c>
      <c r="F272" t="s">
        <v>22</v>
      </c>
      <c r="G272">
        <v>14</v>
      </c>
      <c r="H272">
        <v>1225.8599999999999</v>
      </c>
      <c r="I272">
        <v>247.41</v>
      </c>
      <c r="J272">
        <v>140</v>
      </c>
      <c r="K272">
        <v>0.13</v>
      </c>
      <c r="L272">
        <v>0.38</v>
      </c>
      <c r="M272" t="s">
        <v>17</v>
      </c>
    </row>
    <row r="273" spans="1:13" x14ac:dyDescent="0.2">
      <c r="A273">
        <v>272</v>
      </c>
      <c r="B273">
        <v>32</v>
      </c>
      <c r="C273" t="s">
        <v>18</v>
      </c>
      <c r="D273" t="s">
        <v>14</v>
      </c>
      <c r="E273" t="s">
        <v>27</v>
      </c>
      <c r="F273" t="s">
        <v>20</v>
      </c>
      <c r="G273">
        <v>24</v>
      </c>
      <c r="H273">
        <v>2149.73</v>
      </c>
      <c r="I273">
        <v>121.17</v>
      </c>
      <c r="J273">
        <v>361</v>
      </c>
      <c r="K273">
        <v>0.08</v>
      </c>
      <c r="L273">
        <v>0.13</v>
      </c>
      <c r="M273" t="s">
        <v>25</v>
      </c>
    </row>
    <row r="274" spans="1:13" x14ac:dyDescent="0.2">
      <c r="A274">
        <v>273</v>
      </c>
      <c r="B274">
        <v>24</v>
      </c>
      <c r="C274" t="s">
        <v>18</v>
      </c>
      <c r="D274" t="s">
        <v>19</v>
      </c>
      <c r="E274" t="s">
        <v>24</v>
      </c>
      <c r="F274" t="s">
        <v>16</v>
      </c>
      <c r="G274">
        <v>2</v>
      </c>
      <c r="H274">
        <v>116.16</v>
      </c>
      <c r="I274">
        <v>201.97</v>
      </c>
      <c r="J274">
        <v>91</v>
      </c>
      <c r="K274">
        <v>0.79</v>
      </c>
      <c r="L274">
        <v>0.39</v>
      </c>
      <c r="M274" t="s">
        <v>17</v>
      </c>
    </row>
    <row r="275" spans="1:13" x14ac:dyDescent="0.2">
      <c r="A275">
        <v>274</v>
      </c>
      <c r="B275">
        <v>32</v>
      </c>
      <c r="C275" t="s">
        <v>18</v>
      </c>
      <c r="D275" t="s">
        <v>23</v>
      </c>
      <c r="E275" t="s">
        <v>27</v>
      </c>
      <c r="F275" t="s">
        <v>16</v>
      </c>
      <c r="G275">
        <v>17</v>
      </c>
      <c r="H275">
        <v>2611.23</v>
      </c>
      <c r="I275">
        <v>132.25</v>
      </c>
      <c r="J275">
        <v>8</v>
      </c>
      <c r="K275">
        <v>0.11</v>
      </c>
      <c r="L275">
        <v>0.03</v>
      </c>
      <c r="M275" t="s">
        <v>17</v>
      </c>
    </row>
    <row r="276" spans="1:13" x14ac:dyDescent="0.2">
      <c r="A276">
        <v>275</v>
      </c>
      <c r="B276">
        <v>48</v>
      </c>
      <c r="C276" t="s">
        <v>13</v>
      </c>
      <c r="D276" t="s">
        <v>23</v>
      </c>
      <c r="E276" t="s">
        <v>24</v>
      </c>
      <c r="F276" t="s">
        <v>16</v>
      </c>
      <c r="G276">
        <v>12</v>
      </c>
      <c r="H276">
        <v>308.02</v>
      </c>
      <c r="I276">
        <v>36.96</v>
      </c>
      <c r="J276">
        <v>136</v>
      </c>
      <c r="K276">
        <v>0.45</v>
      </c>
      <c r="L276">
        <v>0.19</v>
      </c>
      <c r="M276" t="s">
        <v>17</v>
      </c>
    </row>
    <row r="277" spans="1:13" x14ac:dyDescent="0.2">
      <c r="A277">
        <v>276</v>
      </c>
      <c r="B277">
        <v>30</v>
      </c>
      <c r="C277" t="s">
        <v>18</v>
      </c>
      <c r="D277" t="s">
        <v>19</v>
      </c>
      <c r="E277" t="s">
        <v>21</v>
      </c>
      <c r="F277" t="s">
        <v>20</v>
      </c>
      <c r="G277">
        <v>11</v>
      </c>
      <c r="H277">
        <v>551.28</v>
      </c>
      <c r="I277">
        <v>79.44</v>
      </c>
      <c r="J277">
        <v>138</v>
      </c>
      <c r="K277">
        <v>0.48</v>
      </c>
      <c r="L277">
        <v>0.05</v>
      </c>
      <c r="M277" t="s">
        <v>25</v>
      </c>
    </row>
    <row r="278" spans="1:13" x14ac:dyDescent="0.2">
      <c r="A278">
        <v>277</v>
      </c>
      <c r="B278">
        <v>39</v>
      </c>
      <c r="C278" t="s">
        <v>13</v>
      </c>
      <c r="D278" t="s">
        <v>26</v>
      </c>
      <c r="E278" t="s">
        <v>24</v>
      </c>
      <c r="F278" t="s">
        <v>20</v>
      </c>
      <c r="G278">
        <v>10</v>
      </c>
      <c r="H278">
        <v>1168.08</v>
      </c>
      <c r="I278">
        <v>54.56</v>
      </c>
      <c r="J278">
        <v>36</v>
      </c>
      <c r="K278">
        <v>0.11</v>
      </c>
      <c r="L278">
        <v>0.18</v>
      </c>
      <c r="M278" t="s">
        <v>25</v>
      </c>
    </row>
    <row r="279" spans="1:13" x14ac:dyDescent="0.2">
      <c r="A279">
        <v>278</v>
      </c>
      <c r="B279">
        <v>31</v>
      </c>
      <c r="C279" t="s">
        <v>18</v>
      </c>
      <c r="D279" t="s">
        <v>23</v>
      </c>
      <c r="E279" t="s">
        <v>24</v>
      </c>
      <c r="F279" t="s">
        <v>16</v>
      </c>
      <c r="G279">
        <v>21</v>
      </c>
      <c r="H279">
        <v>72.510000000000005</v>
      </c>
      <c r="I279">
        <v>234.15</v>
      </c>
      <c r="J279">
        <v>23</v>
      </c>
      <c r="K279">
        <v>0.42</v>
      </c>
      <c r="L279">
        <v>0.27</v>
      </c>
      <c r="M279" t="s">
        <v>25</v>
      </c>
    </row>
    <row r="280" spans="1:13" x14ac:dyDescent="0.2">
      <c r="A280">
        <v>279</v>
      </c>
      <c r="B280">
        <v>48</v>
      </c>
      <c r="C280" t="s">
        <v>18</v>
      </c>
      <c r="D280" t="s">
        <v>19</v>
      </c>
      <c r="E280" t="s">
        <v>15</v>
      </c>
      <c r="F280" t="s">
        <v>20</v>
      </c>
      <c r="G280">
        <v>16</v>
      </c>
      <c r="H280">
        <v>2652.79</v>
      </c>
      <c r="I280">
        <v>220.96</v>
      </c>
      <c r="J280">
        <v>101</v>
      </c>
      <c r="K280">
        <v>0.15</v>
      </c>
      <c r="L280">
        <v>0.28000000000000003</v>
      </c>
      <c r="M280" t="s">
        <v>25</v>
      </c>
    </row>
    <row r="281" spans="1:13" x14ac:dyDescent="0.2">
      <c r="A281">
        <v>280</v>
      </c>
      <c r="B281">
        <v>57</v>
      </c>
      <c r="C281" t="s">
        <v>18</v>
      </c>
      <c r="D281" t="s">
        <v>23</v>
      </c>
      <c r="E281" t="s">
        <v>15</v>
      </c>
      <c r="F281" t="s">
        <v>22</v>
      </c>
      <c r="G281">
        <v>3</v>
      </c>
      <c r="H281">
        <v>1218.28</v>
      </c>
      <c r="I281">
        <v>174</v>
      </c>
      <c r="J281">
        <v>261</v>
      </c>
      <c r="K281">
        <v>0.48</v>
      </c>
      <c r="L281">
        <v>0.18</v>
      </c>
      <c r="M281" t="s">
        <v>17</v>
      </c>
    </row>
    <row r="282" spans="1:13" x14ac:dyDescent="0.2">
      <c r="A282">
        <v>281</v>
      </c>
      <c r="B282">
        <v>57</v>
      </c>
      <c r="C282" t="s">
        <v>13</v>
      </c>
      <c r="D282" t="s">
        <v>26</v>
      </c>
      <c r="E282" t="s">
        <v>21</v>
      </c>
      <c r="F282" t="s">
        <v>16</v>
      </c>
      <c r="G282">
        <v>1</v>
      </c>
      <c r="H282">
        <v>1120.6600000000001</v>
      </c>
      <c r="I282">
        <v>212.33</v>
      </c>
      <c r="J282">
        <v>25</v>
      </c>
      <c r="K282">
        <v>0.46</v>
      </c>
      <c r="L282">
        <v>0.14000000000000001</v>
      </c>
      <c r="M282" t="s">
        <v>17</v>
      </c>
    </row>
    <row r="283" spans="1:13" x14ac:dyDescent="0.2">
      <c r="A283">
        <v>282</v>
      </c>
      <c r="B283">
        <v>18</v>
      </c>
      <c r="C283" t="s">
        <v>13</v>
      </c>
      <c r="D283" t="s">
        <v>26</v>
      </c>
      <c r="E283" t="s">
        <v>15</v>
      </c>
      <c r="F283" t="s">
        <v>22</v>
      </c>
      <c r="G283">
        <v>14</v>
      </c>
      <c r="H283">
        <v>1038.29</v>
      </c>
      <c r="I283">
        <v>155.31</v>
      </c>
      <c r="J283">
        <v>209</v>
      </c>
      <c r="K283">
        <v>0.33</v>
      </c>
      <c r="L283">
        <v>0.08</v>
      </c>
      <c r="M283" t="s">
        <v>25</v>
      </c>
    </row>
    <row r="284" spans="1:13" x14ac:dyDescent="0.2">
      <c r="A284">
        <v>283</v>
      </c>
      <c r="B284">
        <v>48</v>
      </c>
      <c r="C284" t="s">
        <v>13</v>
      </c>
      <c r="D284" t="s">
        <v>23</v>
      </c>
      <c r="E284" t="s">
        <v>24</v>
      </c>
      <c r="F284" t="s">
        <v>22</v>
      </c>
      <c r="G284">
        <v>25</v>
      </c>
      <c r="H284">
        <v>2620.88</v>
      </c>
      <c r="I284">
        <v>77.56</v>
      </c>
      <c r="J284">
        <v>285</v>
      </c>
      <c r="K284">
        <v>0.18</v>
      </c>
      <c r="L284">
        <v>0.16</v>
      </c>
      <c r="M284" t="s">
        <v>25</v>
      </c>
    </row>
    <row r="285" spans="1:13" x14ac:dyDescent="0.2">
      <c r="A285">
        <v>284</v>
      </c>
      <c r="B285">
        <v>59</v>
      </c>
      <c r="C285" t="s">
        <v>18</v>
      </c>
      <c r="D285" t="s">
        <v>14</v>
      </c>
      <c r="E285" t="s">
        <v>27</v>
      </c>
      <c r="F285" t="s">
        <v>22</v>
      </c>
      <c r="G285">
        <v>16</v>
      </c>
      <c r="H285">
        <v>1040.8499999999999</v>
      </c>
      <c r="I285">
        <v>249.37</v>
      </c>
      <c r="J285">
        <v>186</v>
      </c>
      <c r="K285">
        <v>0.36</v>
      </c>
      <c r="L285">
        <v>0.11</v>
      </c>
      <c r="M285" t="s">
        <v>17</v>
      </c>
    </row>
    <row r="286" spans="1:13" x14ac:dyDescent="0.2">
      <c r="A286">
        <v>285</v>
      </c>
      <c r="B286">
        <v>40</v>
      </c>
      <c r="C286" t="s">
        <v>18</v>
      </c>
      <c r="D286" t="s">
        <v>23</v>
      </c>
      <c r="E286" t="s">
        <v>27</v>
      </c>
      <c r="F286" t="s">
        <v>22</v>
      </c>
      <c r="G286">
        <v>5</v>
      </c>
      <c r="H286">
        <v>1971.28</v>
      </c>
      <c r="I286">
        <v>195.13</v>
      </c>
      <c r="J286">
        <v>137</v>
      </c>
      <c r="K286">
        <v>0.18</v>
      </c>
      <c r="L286">
        <v>0.08</v>
      </c>
      <c r="M286" t="s">
        <v>17</v>
      </c>
    </row>
    <row r="287" spans="1:13" x14ac:dyDescent="0.2">
      <c r="A287">
        <v>286</v>
      </c>
      <c r="B287">
        <v>59</v>
      </c>
      <c r="C287" t="s">
        <v>18</v>
      </c>
      <c r="D287" t="s">
        <v>19</v>
      </c>
      <c r="E287" t="s">
        <v>15</v>
      </c>
      <c r="F287" t="s">
        <v>16</v>
      </c>
      <c r="G287">
        <v>22</v>
      </c>
      <c r="H287">
        <v>2885.62</v>
      </c>
      <c r="I287">
        <v>81.8</v>
      </c>
      <c r="J287">
        <v>6</v>
      </c>
      <c r="K287">
        <v>0.11</v>
      </c>
      <c r="L287">
        <v>0.28999999999999998</v>
      </c>
      <c r="M287" t="s">
        <v>25</v>
      </c>
    </row>
    <row r="288" spans="1:13" x14ac:dyDescent="0.2">
      <c r="A288">
        <v>287</v>
      </c>
      <c r="B288">
        <v>23</v>
      </c>
      <c r="C288" t="s">
        <v>13</v>
      </c>
      <c r="D288" t="s">
        <v>19</v>
      </c>
      <c r="E288" t="s">
        <v>24</v>
      </c>
      <c r="F288" t="s">
        <v>16</v>
      </c>
      <c r="G288">
        <v>9</v>
      </c>
      <c r="H288">
        <v>1295.72</v>
      </c>
      <c r="I288">
        <v>122.14</v>
      </c>
      <c r="J288">
        <v>167</v>
      </c>
      <c r="K288">
        <v>0.22</v>
      </c>
      <c r="L288">
        <v>0.21</v>
      </c>
      <c r="M288" t="s">
        <v>25</v>
      </c>
    </row>
    <row r="289" spans="1:13" x14ac:dyDescent="0.2">
      <c r="A289">
        <v>288</v>
      </c>
      <c r="B289">
        <v>60</v>
      </c>
      <c r="C289" t="s">
        <v>18</v>
      </c>
      <c r="D289" t="s">
        <v>26</v>
      </c>
      <c r="E289" t="s">
        <v>21</v>
      </c>
      <c r="F289" t="s">
        <v>16</v>
      </c>
      <c r="G289">
        <v>8</v>
      </c>
      <c r="H289">
        <v>2743.33</v>
      </c>
      <c r="I289">
        <v>25.69</v>
      </c>
      <c r="J289">
        <v>353</v>
      </c>
      <c r="K289">
        <v>0.78</v>
      </c>
      <c r="L289">
        <v>0.18</v>
      </c>
      <c r="M289" t="s">
        <v>17</v>
      </c>
    </row>
    <row r="290" spans="1:13" x14ac:dyDescent="0.2">
      <c r="A290">
        <v>289</v>
      </c>
      <c r="B290">
        <v>25</v>
      </c>
      <c r="C290" t="s">
        <v>18</v>
      </c>
      <c r="D290" t="s">
        <v>26</v>
      </c>
      <c r="E290" t="s">
        <v>21</v>
      </c>
      <c r="F290" t="s">
        <v>22</v>
      </c>
      <c r="G290">
        <v>6</v>
      </c>
      <c r="H290">
        <v>1683.83</v>
      </c>
      <c r="I290">
        <v>248.73</v>
      </c>
      <c r="J290">
        <v>22</v>
      </c>
      <c r="K290">
        <v>0.45</v>
      </c>
      <c r="L290">
        <v>0.08</v>
      </c>
      <c r="M290" t="s">
        <v>17</v>
      </c>
    </row>
    <row r="291" spans="1:13" x14ac:dyDescent="0.2">
      <c r="A291">
        <v>290</v>
      </c>
      <c r="B291">
        <v>42</v>
      </c>
      <c r="C291" t="s">
        <v>13</v>
      </c>
      <c r="D291" t="s">
        <v>19</v>
      </c>
      <c r="E291" t="s">
        <v>27</v>
      </c>
      <c r="F291" t="s">
        <v>20</v>
      </c>
      <c r="G291">
        <v>19</v>
      </c>
      <c r="H291">
        <v>1192.72</v>
      </c>
      <c r="I291">
        <v>132.05000000000001</v>
      </c>
      <c r="J291">
        <v>335</v>
      </c>
      <c r="K291">
        <v>0.8</v>
      </c>
      <c r="L291">
        <v>0.28000000000000003</v>
      </c>
      <c r="M291" t="s">
        <v>25</v>
      </c>
    </row>
    <row r="292" spans="1:13" x14ac:dyDescent="0.2">
      <c r="A292">
        <v>291</v>
      </c>
      <c r="B292">
        <v>30</v>
      </c>
      <c r="C292" t="s">
        <v>18</v>
      </c>
      <c r="D292" t="s">
        <v>23</v>
      </c>
      <c r="E292" t="s">
        <v>27</v>
      </c>
      <c r="F292" t="s">
        <v>20</v>
      </c>
      <c r="G292">
        <v>12</v>
      </c>
      <c r="H292">
        <v>1427.69</v>
      </c>
      <c r="I292">
        <v>131.31</v>
      </c>
      <c r="J292">
        <v>233</v>
      </c>
      <c r="K292">
        <v>0.01</v>
      </c>
      <c r="L292">
        <v>0.08</v>
      </c>
      <c r="M292" t="s">
        <v>25</v>
      </c>
    </row>
    <row r="293" spans="1:13" x14ac:dyDescent="0.2">
      <c r="A293">
        <v>292</v>
      </c>
      <c r="B293">
        <v>48</v>
      </c>
      <c r="C293" t="s">
        <v>18</v>
      </c>
      <c r="D293" t="s">
        <v>26</v>
      </c>
      <c r="E293" t="s">
        <v>21</v>
      </c>
      <c r="F293" t="s">
        <v>20</v>
      </c>
      <c r="G293">
        <v>2</v>
      </c>
      <c r="H293">
        <v>1066.21</v>
      </c>
      <c r="I293">
        <v>27.28</v>
      </c>
      <c r="J293">
        <v>279</v>
      </c>
      <c r="K293">
        <v>0.85</v>
      </c>
      <c r="L293">
        <v>0.11</v>
      </c>
      <c r="M293" t="s">
        <v>25</v>
      </c>
    </row>
    <row r="294" spans="1:13" x14ac:dyDescent="0.2">
      <c r="A294">
        <v>293</v>
      </c>
      <c r="B294">
        <v>29</v>
      </c>
      <c r="C294" t="s">
        <v>18</v>
      </c>
      <c r="D294" t="s">
        <v>14</v>
      </c>
      <c r="E294" t="s">
        <v>21</v>
      </c>
      <c r="F294" t="s">
        <v>16</v>
      </c>
      <c r="G294">
        <v>6</v>
      </c>
      <c r="H294">
        <v>1334.95</v>
      </c>
      <c r="I294">
        <v>212.55</v>
      </c>
      <c r="J294">
        <v>145</v>
      </c>
      <c r="K294">
        <v>0.44</v>
      </c>
      <c r="L294">
        <v>0.22</v>
      </c>
      <c r="M294" t="s">
        <v>17</v>
      </c>
    </row>
    <row r="295" spans="1:13" x14ac:dyDescent="0.2">
      <c r="A295">
        <v>294</v>
      </c>
      <c r="B295">
        <v>45</v>
      </c>
      <c r="C295" t="s">
        <v>13</v>
      </c>
      <c r="D295" t="s">
        <v>19</v>
      </c>
      <c r="E295" t="s">
        <v>24</v>
      </c>
      <c r="F295" t="s">
        <v>16</v>
      </c>
      <c r="G295">
        <v>23</v>
      </c>
      <c r="H295">
        <v>873.44</v>
      </c>
      <c r="I295">
        <v>37.159999999999997</v>
      </c>
      <c r="J295">
        <v>281</v>
      </c>
      <c r="K295">
        <v>0.71</v>
      </c>
      <c r="L295">
        <v>0.28000000000000003</v>
      </c>
      <c r="M295" t="s">
        <v>17</v>
      </c>
    </row>
    <row r="296" spans="1:13" x14ac:dyDescent="0.2">
      <c r="A296">
        <v>295</v>
      </c>
      <c r="B296">
        <v>58</v>
      </c>
      <c r="C296" t="s">
        <v>18</v>
      </c>
      <c r="D296" t="s">
        <v>19</v>
      </c>
      <c r="E296" t="s">
        <v>15</v>
      </c>
      <c r="F296" t="s">
        <v>22</v>
      </c>
      <c r="G296">
        <v>12</v>
      </c>
      <c r="H296">
        <v>124.59</v>
      </c>
      <c r="I296">
        <v>162.69999999999999</v>
      </c>
      <c r="J296">
        <v>170</v>
      </c>
      <c r="K296">
        <v>0.51</v>
      </c>
      <c r="L296">
        <v>0.39</v>
      </c>
      <c r="M296" t="s">
        <v>17</v>
      </c>
    </row>
    <row r="297" spans="1:13" x14ac:dyDescent="0.2">
      <c r="A297">
        <v>296</v>
      </c>
      <c r="B297">
        <v>39</v>
      </c>
      <c r="C297" t="s">
        <v>13</v>
      </c>
      <c r="D297" t="s">
        <v>14</v>
      </c>
      <c r="E297" t="s">
        <v>21</v>
      </c>
      <c r="F297" t="s">
        <v>20</v>
      </c>
      <c r="G297">
        <v>19</v>
      </c>
      <c r="H297">
        <v>2424.37</v>
      </c>
      <c r="I297">
        <v>168.28</v>
      </c>
      <c r="J297">
        <v>354</v>
      </c>
      <c r="K297">
        <v>0.62</v>
      </c>
      <c r="L297">
        <v>0.3</v>
      </c>
      <c r="M297" t="s">
        <v>25</v>
      </c>
    </row>
    <row r="298" spans="1:13" x14ac:dyDescent="0.2">
      <c r="A298">
        <v>297</v>
      </c>
      <c r="B298">
        <v>23</v>
      </c>
      <c r="C298" t="s">
        <v>13</v>
      </c>
      <c r="D298" t="s">
        <v>14</v>
      </c>
      <c r="E298" t="s">
        <v>27</v>
      </c>
      <c r="F298" t="s">
        <v>16</v>
      </c>
      <c r="G298">
        <v>20</v>
      </c>
      <c r="H298">
        <v>763.31</v>
      </c>
      <c r="I298">
        <v>157.99</v>
      </c>
      <c r="J298">
        <v>211</v>
      </c>
      <c r="K298">
        <v>0.21</v>
      </c>
      <c r="L298">
        <v>0.38</v>
      </c>
      <c r="M298" t="s">
        <v>17</v>
      </c>
    </row>
    <row r="299" spans="1:13" x14ac:dyDescent="0.2">
      <c r="A299">
        <v>298</v>
      </c>
      <c r="B299">
        <v>43</v>
      </c>
      <c r="C299" t="s">
        <v>18</v>
      </c>
      <c r="D299" t="s">
        <v>19</v>
      </c>
      <c r="E299" t="s">
        <v>24</v>
      </c>
      <c r="F299" t="s">
        <v>22</v>
      </c>
      <c r="G299">
        <v>1</v>
      </c>
      <c r="H299">
        <v>433.1</v>
      </c>
      <c r="I299">
        <v>213.88</v>
      </c>
      <c r="J299">
        <v>138</v>
      </c>
      <c r="K299">
        <v>0.68</v>
      </c>
      <c r="L299">
        <v>0.37</v>
      </c>
      <c r="M299" t="s">
        <v>17</v>
      </c>
    </row>
    <row r="300" spans="1:13" x14ac:dyDescent="0.2">
      <c r="A300">
        <v>299</v>
      </c>
      <c r="B300">
        <v>47</v>
      </c>
      <c r="C300" t="s">
        <v>13</v>
      </c>
      <c r="D300" t="s">
        <v>19</v>
      </c>
      <c r="E300" t="s">
        <v>15</v>
      </c>
      <c r="F300" t="s">
        <v>20</v>
      </c>
      <c r="G300">
        <v>12</v>
      </c>
      <c r="H300">
        <v>629.07000000000005</v>
      </c>
      <c r="I300">
        <v>242.53</v>
      </c>
      <c r="J300">
        <v>205</v>
      </c>
      <c r="K300">
        <v>0.14000000000000001</v>
      </c>
      <c r="L300">
        <v>0.28999999999999998</v>
      </c>
      <c r="M300" t="s">
        <v>25</v>
      </c>
    </row>
    <row r="301" spans="1:13" x14ac:dyDescent="0.2">
      <c r="A301">
        <v>300</v>
      </c>
      <c r="B301">
        <v>43</v>
      </c>
      <c r="C301" t="s">
        <v>13</v>
      </c>
      <c r="D301" t="s">
        <v>26</v>
      </c>
      <c r="E301" t="s">
        <v>21</v>
      </c>
      <c r="F301" t="s">
        <v>20</v>
      </c>
      <c r="G301">
        <v>17</v>
      </c>
      <c r="H301">
        <v>1657.36</v>
      </c>
      <c r="I301">
        <v>179.37</v>
      </c>
      <c r="J301">
        <v>217</v>
      </c>
      <c r="K301">
        <v>0.24</v>
      </c>
      <c r="L301">
        <v>0.28999999999999998</v>
      </c>
      <c r="M301" t="s">
        <v>17</v>
      </c>
    </row>
    <row r="302" spans="1:13" x14ac:dyDescent="0.2">
      <c r="A302">
        <v>301</v>
      </c>
      <c r="B302">
        <v>23</v>
      </c>
      <c r="C302" t="s">
        <v>18</v>
      </c>
      <c r="D302" t="s">
        <v>26</v>
      </c>
      <c r="E302" t="s">
        <v>27</v>
      </c>
      <c r="F302" t="s">
        <v>16</v>
      </c>
      <c r="G302">
        <v>15</v>
      </c>
      <c r="H302">
        <v>2373.0100000000002</v>
      </c>
      <c r="I302">
        <v>123.18</v>
      </c>
      <c r="J302">
        <v>163</v>
      </c>
      <c r="K302">
        <v>0.03</v>
      </c>
      <c r="L302">
        <v>0.03</v>
      </c>
      <c r="M302" t="s">
        <v>25</v>
      </c>
    </row>
    <row r="303" spans="1:13" x14ac:dyDescent="0.2">
      <c r="A303">
        <v>302</v>
      </c>
      <c r="B303">
        <v>28</v>
      </c>
      <c r="C303" t="s">
        <v>18</v>
      </c>
      <c r="D303" t="s">
        <v>23</v>
      </c>
      <c r="E303" t="s">
        <v>24</v>
      </c>
      <c r="F303" t="s">
        <v>16</v>
      </c>
      <c r="G303">
        <v>17</v>
      </c>
      <c r="H303">
        <v>1687.18</v>
      </c>
      <c r="I303">
        <v>72.72</v>
      </c>
      <c r="J303">
        <v>277</v>
      </c>
      <c r="K303">
        <v>0.35</v>
      </c>
      <c r="L303">
        <v>0.08</v>
      </c>
      <c r="M303" t="s">
        <v>17</v>
      </c>
    </row>
    <row r="304" spans="1:13" x14ac:dyDescent="0.2">
      <c r="A304">
        <v>303</v>
      </c>
      <c r="B304">
        <v>28</v>
      </c>
      <c r="C304" t="s">
        <v>18</v>
      </c>
      <c r="D304" t="s">
        <v>23</v>
      </c>
      <c r="E304" t="s">
        <v>21</v>
      </c>
      <c r="F304" t="s">
        <v>20</v>
      </c>
      <c r="G304">
        <v>3</v>
      </c>
      <c r="H304">
        <v>1427.81</v>
      </c>
      <c r="I304">
        <v>240.32</v>
      </c>
      <c r="J304">
        <v>215</v>
      </c>
      <c r="K304">
        <v>0.47</v>
      </c>
      <c r="L304">
        <v>0.01</v>
      </c>
      <c r="M304" t="s">
        <v>25</v>
      </c>
    </row>
    <row r="305" spans="1:13" x14ac:dyDescent="0.2">
      <c r="A305">
        <v>304</v>
      </c>
      <c r="B305">
        <v>26</v>
      </c>
      <c r="C305" t="s">
        <v>13</v>
      </c>
      <c r="D305" t="s">
        <v>19</v>
      </c>
      <c r="E305" t="s">
        <v>21</v>
      </c>
      <c r="F305" t="s">
        <v>20</v>
      </c>
      <c r="G305">
        <v>4</v>
      </c>
      <c r="H305">
        <v>2395.0700000000002</v>
      </c>
      <c r="I305">
        <v>138.91</v>
      </c>
      <c r="J305">
        <v>197</v>
      </c>
      <c r="K305">
        <v>0.26</v>
      </c>
      <c r="L305">
        <v>0.35</v>
      </c>
      <c r="M305" t="s">
        <v>25</v>
      </c>
    </row>
    <row r="306" spans="1:13" x14ac:dyDescent="0.2">
      <c r="A306">
        <v>305</v>
      </c>
      <c r="B306">
        <v>19</v>
      </c>
      <c r="C306" t="s">
        <v>18</v>
      </c>
      <c r="D306" t="s">
        <v>14</v>
      </c>
      <c r="E306" t="s">
        <v>24</v>
      </c>
      <c r="F306" t="s">
        <v>16</v>
      </c>
      <c r="G306">
        <v>12</v>
      </c>
      <c r="H306">
        <v>758.54</v>
      </c>
      <c r="I306">
        <v>103.01</v>
      </c>
      <c r="J306">
        <v>78</v>
      </c>
      <c r="K306">
        <v>0.8</v>
      </c>
      <c r="L306">
        <v>0.28999999999999998</v>
      </c>
      <c r="M306" t="s">
        <v>17</v>
      </c>
    </row>
    <row r="307" spans="1:13" x14ac:dyDescent="0.2">
      <c r="A307">
        <v>306</v>
      </c>
      <c r="B307">
        <v>27</v>
      </c>
      <c r="C307" t="s">
        <v>18</v>
      </c>
      <c r="D307" t="s">
        <v>19</v>
      </c>
      <c r="E307" t="s">
        <v>24</v>
      </c>
      <c r="F307" t="s">
        <v>22</v>
      </c>
      <c r="G307">
        <v>23</v>
      </c>
      <c r="H307">
        <v>1135.3599999999999</v>
      </c>
      <c r="I307">
        <v>141.5</v>
      </c>
      <c r="J307">
        <v>199</v>
      </c>
      <c r="K307">
        <v>0.08</v>
      </c>
      <c r="L307">
        <v>0.25</v>
      </c>
      <c r="M307" t="s">
        <v>25</v>
      </c>
    </row>
    <row r="308" spans="1:13" x14ac:dyDescent="0.2">
      <c r="A308">
        <v>307</v>
      </c>
      <c r="B308">
        <v>55</v>
      </c>
      <c r="C308" t="s">
        <v>13</v>
      </c>
      <c r="D308" t="s">
        <v>26</v>
      </c>
      <c r="E308" t="s">
        <v>24</v>
      </c>
      <c r="F308" t="s">
        <v>22</v>
      </c>
      <c r="G308">
        <v>8</v>
      </c>
      <c r="H308">
        <v>688.6</v>
      </c>
      <c r="I308">
        <v>91.59</v>
      </c>
      <c r="J308">
        <v>198</v>
      </c>
      <c r="K308">
        <v>0.52</v>
      </c>
      <c r="L308">
        <v>0.11</v>
      </c>
      <c r="M308" t="s">
        <v>17</v>
      </c>
    </row>
    <row r="309" spans="1:13" x14ac:dyDescent="0.2">
      <c r="A309">
        <v>308</v>
      </c>
      <c r="B309">
        <v>47</v>
      </c>
      <c r="C309" t="s">
        <v>18</v>
      </c>
      <c r="D309" t="s">
        <v>23</v>
      </c>
      <c r="E309" t="s">
        <v>27</v>
      </c>
      <c r="F309" t="s">
        <v>22</v>
      </c>
      <c r="G309">
        <v>11</v>
      </c>
      <c r="H309">
        <v>1245.2</v>
      </c>
      <c r="I309">
        <v>50.11</v>
      </c>
      <c r="J309">
        <v>210</v>
      </c>
      <c r="K309">
        <v>0.21</v>
      </c>
      <c r="L309">
        <v>0.14000000000000001</v>
      </c>
      <c r="M309" t="s">
        <v>17</v>
      </c>
    </row>
    <row r="310" spans="1:13" x14ac:dyDescent="0.2">
      <c r="A310">
        <v>309</v>
      </c>
      <c r="B310">
        <v>59</v>
      </c>
      <c r="C310" t="s">
        <v>13</v>
      </c>
      <c r="D310" t="s">
        <v>14</v>
      </c>
      <c r="E310" t="s">
        <v>21</v>
      </c>
      <c r="F310" t="s">
        <v>20</v>
      </c>
      <c r="G310">
        <v>25</v>
      </c>
      <c r="H310">
        <v>1906.56</v>
      </c>
      <c r="I310">
        <v>163.66</v>
      </c>
      <c r="J310">
        <v>74</v>
      </c>
      <c r="K310">
        <v>0.54</v>
      </c>
      <c r="L310">
        <v>7.0000000000000007E-2</v>
      </c>
      <c r="M310" t="s">
        <v>17</v>
      </c>
    </row>
    <row r="311" spans="1:13" x14ac:dyDescent="0.2">
      <c r="A311">
        <v>310</v>
      </c>
      <c r="B311">
        <v>27</v>
      </c>
      <c r="C311" t="s">
        <v>13</v>
      </c>
      <c r="D311" t="s">
        <v>26</v>
      </c>
      <c r="E311" t="s">
        <v>21</v>
      </c>
      <c r="F311" t="s">
        <v>16</v>
      </c>
      <c r="G311">
        <v>23</v>
      </c>
      <c r="H311">
        <v>1763.19</v>
      </c>
      <c r="I311">
        <v>68.62</v>
      </c>
      <c r="J311">
        <v>326</v>
      </c>
      <c r="K311">
        <v>0.71</v>
      </c>
      <c r="L311">
        <v>0.25</v>
      </c>
      <c r="M311" t="s">
        <v>25</v>
      </c>
    </row>
    <row r="312" spans="1:13" x14ac:dyDescent="0.2">
      <c r="A312">
        <v>311</v>
      </c>
      <c r="B312">
        <v>57</v>
      </c>
      <c r="C312" t="s">
        <v>13</v>
      </c>
      <c r="D312" t="s">
        <v>23</v>
      </c>
      <c r="E312" t="s">
        <v>15</v>
      </c>
      <c r="F312" t="s">
        <v>22</v>
      </c>
      <c r="G312">
        <v>13</v>
      </c>
      <c r="H312">
        <v>926.9</v>
      </c>
      <c r="I312">
        <v>208.41</v>
      </c>
      <c r="J312">
        <v>3</v>
      </c>
      <c r="K312">
        <v>0.64</v>
      </c>
      <c r="L312">
        <v>0.4</v>
      </c>
      <c r="M312" t="s">
        <v>17</v>
      </c>
    </row>
    <row r="313" spans="1:13" x14ac:dyDescent="0.2">
      <c r="A313">
        <v>312</v>
      </c>
      <c r="B313">
        <v>56</v>
      </c>
      <c r="C313" t="s">
        <v>18</v>
      </c>
      <c r="D313" t="s">
        <v>26</v>
      </c>
      <c r="E313" t="s">
        <v>15</v>
      </c>
      <c r="F313" t="s">
        <v>16</v>
      </c>
      <c r="G313">
        <v>19</v>
      </c>
      <c r="H313">
        <v>1454.06</v>
      </c>
      <c r="I313">
        <v>187.27</v>
      </c>
      <c r="J313">
        <v>123</v>
      </c>
      <c r="K313">
        <v>0.06</v>
      </c>
      <c r="L313">
        <v>0.12</v>
      </c>
      <c r="M313" t="s">
        <v>25</v>
      </c>
    </row>
    <row r="314" spans="1:13" x14ac:dyDescent="0.2">
      <c r="A314">
        <v>313</v>
      </c>
      <c r="B314">
        <v>48</v>
      </c>
      <c r="C314" t="s">
        <v>18</v>
      </c>
      <c r="D314" t="s">
        <v>19</v>
      </c>
      <c r="E314" t="s">
        <v>27</v>
      </c>
      <c r="F314" t="s">
        <v>20</v>
      </c>
      <c r="G314">
        <v>25</v>
      </c>
      <c r="H314">
        <v>653.11</v>
      </c>
      <c r="I314">
        <v>96.21</v>
      </c>
      <c r="J314">
        <v>312</v>
      </c>
      <c r="K314">
        <v>0.22</v>
      </c>
      <c r="L314">
        <v>0.02</v>
      </c>
      <c r="M314" t="s">
        <v>17</v>
      </c>
    </row>
    <row r="315" spans="1:13" x14ac:dyDescent="0.2">
      <c r="A315">
        <v>314</v>
      </c>
      <c r="B315">
        <v>60</v>
      </c>
      <c r="C315" t="s">
        <v>13</v>
      </c>
      <c r="D315" t="s">
        <v>19</v>
      </c>
      <c r="E315" t="s">
        <v>21</v>
      </c>
      <c r="F315" t="s">
        <v>20</v>
      </c>
      <c r="G315">
        <v>2</v>
      </c>
      <c r="H315">
        <v>2582.25</v>
      </c>
      <c r="I315">
        <v>127.73</v>
      </c>
      <c r="J315">
        <v>257</v>
      </c>
      <c r="K315">
        <v>0.54</v>
      </c>
      <c r="L315">
        <v>7.0000000000000007E-2</v>
      </c>
      <c r="M315" t="s">
        <v>17</v>
      </c>
    </row>
    <row r="316" spans="1:13" x14ac:dyDescent="0.2">
      <c r="A316">
        <v>315</v>
      </c>
      <c r="B316">
        <v>40</v>
      </c>
      <c r="C316" t="s">
        <v>18</v>
      </c>
      <c r="D316" t="s">
        <v>23</v>
      </c>
      <c r="E316" t="s">
        <v>24</v>
      </c>
      <c r="F316" t="s">
        <v>20</v>
      </c>
      <c r="G316">
        <v>10</v>
      </c>
      <c r="H316">
        <v>2042.14</v>
      </c>
      <c r="I316">
        <v>235.6</v>
      </c>
      <c r="J316">
        <v>131</v>
      </c>
      <c r="K316">
        <v>0.88</v>
      </c>
      <c r="L316">
        <v>0.14000000000000001</v>
      </c>
      <c r="M316" t="s">
        <v>25</v>
      </c>
    </row>
    <row r="317" spans="1:13" x14ac:dyDescent="0.2">
      <c r="A317">
        <v>316</v>
      </c>
      <c r="B317">
        <v>27</v>
      </c>
      <c r="C317" t="s">
        <v>18</v>
      </c>
      <c r="D317" t="s">
        <v>19</v>
      </c>
      <c r="E317" t="s">
        <v>21</v>
      </c>
      <c r="F317" t="s">
        <v>20</v>
      </c>
      <c r="G317">
        <v>4</v>
      </c>
      <c r="H317">
        <v>2829.16</v>
      </c>
      <c r="I317">
        <v>92.3</v>
      </c>
      <c r="J317">
        <v>356</v>
      </c>
      <c r="K317">
        <v>0.04</v>
      </c>
      <c r="L317">
        <v>0.36</v>
      </c>
      <c r="M317" t="s">
        <v>25</v>
      </c>
    </row>
    <row r="318" spans="1:13" x14ac:dyDescent="0.2">
      <c r="A318">
        <v>317</v>
      </c>
      <c r="B318">
        <v>53</v>
      </c>
      <c r="C318" t="s">
        <v>13</v>
      </c>
      <c r="D318" t="s">
        <v>23</v>
      </c>
      <c r="E318" t="s">
        <v>24</v>
      </c>
      <c r="F318" t="s">
        <v>20</v>
      </c>
      <c r="G318">
        <v>24</v>
      </c>
      <c r="H318">
        <v>2993.86</v>
      </c>
      <c r="I318">
        <v>97.17</v>
      </c>
      <c r="J318">
        <v>313</v>
      </c>
      <c r="K318">
        <v>0.56000000000000005</v>
      </c>
      <c r="L318">
        <v>0.32</v>
      </c>
      <c r="M318" t="s">
        <v>17</v>
      </c>
    </row>
    <row r="319" spans="1:13" x14ac:dyDescent="0.2">
      <c r="A319">
        <v>318</v>
      </c>
      <c r="B319">
        <v>53</v>
      </c>
      <c r="C319" t="s">
        <v>13</v>
      </c>
      <c r="D319" t="s">
        <v>19</v>
      </c>
      <c r="E319" t="s">
        <v>15</v>
      </c>
      <c r="F319" t="s">
        <v>16</v>
      </c>
      <c r="G319">
        <v>16</v>
      </c>
      <c r="H319">
        <v>1808.06</v>
      </c>
      <c r="I319">
        <v>131.19</v>
      </c>
      <c r="J319">
        <v>194</v>
      </c>
      <c r="K319">
        <v>0.62</v>
      </c>
      <c r="L319">
        <v>0.18</v>
      </c>
      <c r="M319" t="s">
        <v>17</v>
      </c>
    </row>
    <row r="320" spans="1:13" x14ac:dyDescent="0.2">
      <c r="A320">
        <v>319</v>
      </c>
      <c r="B320">
        <v>26</v>
      </c>
      <c r="C320" t="s">
        <v>13</v>
      </c>
      <c r="D320" t="s">
        <v>19</v>
      </c>
      <c r="E320" t="s">
        <v>21</v>
      </c>
      <c r="F320" t="s">
        <v>20</v>
      </c>
      <c r="G320">
        <v>15</v>
      </c>
      <c r="H320">
        <v>1349.02</v>
      </c>
      <c r="I320">
        <v>72.12</v>
      </c>
      <c r="J320">
        <v>124</v>
      </c>
      <c r="K320">
        <v>0.73</v>
      </c>
      <c r="L320">
        <v>0.04</v>
      </c>
      <c r="M320" t="s">
        <v>25</v>
      </c>
    </row>
    <row r="321" spans="1:13" x14ac:dyDescent="0.2">
      <c r="A321">
        <v>320</v>
      </c>
      <c r="B321">
        <v>19</v>
      </c>
      <c r="C321" t="s">
        <v>18</v>
      </c>
      <c r="D321" t="s">
        <v>26</v>
      </c>
      <c r="E321" t="s">
        <v>21</v>
      </c>
      <c r="F321" t="s">
        <v>20</v>
      </c>
      <c r="G321">
        <v>17</v>
      </c>
      <c r="H321">
        <v>2970.42</v>
      </c>
      <c r="I321">
        <v>77.209999999999994</v>
      </c>
      <c r="J321">
        <v>102</v>
      </c>
      <c r="K321">
        <v>0.31</v>
      </c>
      <c r="L321">
        <v>0.04</v>
      </c>
      <c r="M321" t="s">
        <v>25</v>
      </c>
    </row>
    <row r="322" spans="1:13" x14ac:dyDescent="0.2">
      <c r="A322">
        <v>321</v>
      </c>
      <c r="B322">
        <v>18</v>
      </c>
      <c r="C322" t="s">
        <v>18</v>
      </c>
      <c r="D322" t="s">
        <v>23</v>
      </c>
      <c r="E322" t="s">
        <v>21</v>
      </c>
      <c r="F322" t="s">
        <v>20</v>
      </c>
      <c r="G322">
        <v>1</v>
      </c>
      <c r="H322">
        <v>1627.25</v>
      </c>
      <c r="I322">
        <v>221.54</v>
      </c>
      <c r="J322">
        <v>340</v>
      </c>
      <c r="K322">
        <v>0.73</v>
      </c>
      <c r="L322">
        <v>0.06</v>
      </c>
      <c r="M322" t="s">
        <v>17</v>
      </c>
    </row>
    <row r="323" spans="1:13" x14ac:dyDescent="0.2">
      <c r="A323">
        <v>322</v>
      </c>
      <c r="B323">
        <v>59</v>
      </c>
      <c r="C323" t="s">
        <v>18</v>
      </c>
      <c r="D323" t="s">
        <v>19</v>
      </c>
      <c r="E323" t="s">
        <v>27</v>
      </c>
      <c r="F323" t="s">
        <v>22</v>
      </c>
      <c r="G323">
        <v>17</v>
      </c>
      <c r="H323">
        <v>1242.24</v>
      </c>
      <c r="I323">
        <v>159.99</v>
      </c>
      <c r="J323">
        <v>60</v>
      </c>
      <c r="K323">
        <v>0.42</v>
      </c>
      <c r="L323">
        <v>0.31</v>
      </c>
      <c r="M323" t="s">
        <v>17</v>
      </c>
    </row>
    <row r="324" spans="1:13" x14ac:dyDescent="0.2">
      <c r="A324">
        <v>323</v>
      </c>
      <c r="B324">
        <v>24</v>
      </c>
      <c r="C324" t="s">
        <v>18</v>
      </c>
      <c r="D324" t="s">
        <v>23</v>
      </c>
      <c r="E324" t="s">
        <v>21</v>
      </c>
      <c r="F324" t="s">
        <v>16</v>
      </c>
      <c r="G324">
        <v>18</v>
      </c>
      <c r="H324">
        <v>1555.07</v>
      </c>
      <c r="I324">
        <v>165.1</v>
      </c>
      <c r="J324">
        <v>45</v>
      </c>
      <c r="K324">
        <v>0.83</v>
      </c>
      <c r="L324">
        <v>0.19</v>
      </c>
      <c r="M324" t="s">
        <v>25</v>
      </c>
    </row>
    <row r="325" spans="1:13" x14ac:dyDescent="0.2">
      <c r="A325">
        <v>324</v>
      </c>
      <c r="B325">
        <v>51</v>
      </c>
      <c r="C325" t="s">
        <v>18</v>
      </c>
      <c r="D325" t="s">
        <v>14</v>
      </c>
      <c r="E325" t="s">
        <v>24</v>
      </c>
      <c r="F325" t="s">
        <v>16</v>
      </c>
      <c r="G325">
        <v>5</v>
      </c>
      <c r="H325">
        <v>420.27</v>
      </c>
      <c r="I325">
        <v>187.2</v>
      </c>
      <c r="J325">
        <v>318</v>
      </c>
      <c r="K325">
        <v>0.01</v>
      </c>
      <c r="L325">
        <v>0.4</v>
      </c>
      <c r="M325" t="s">
        <v>17</v>
      </c>
    </row>
    <row r="326" spans="1:13" x14ac:dyDescent="0.2">
      <c r="A326">
        <v>325</v>
      </c>
      <c r="B326">
        <v>26</v>
      </c>
      <c r="C326" t="s">
        <v>18</v>
      </c>
      <c r="D326" t="s">
        <v>26</v>
      </c>
      <c r="E326" t="s">
        <v>15</v>
      </c>
      <c r="F326" t="s">
        <v>16</v>
      </c>
      <c r="G326">
        <v>1</v>
      </c>
      <c r="H326">
        <v>2264.5100000000002</v>
      </c>
      <c r="I326">
        <v>53.04</v>
      </c>
      <c r="J326">
        <v>18</v>
      </c>
      <c r="K326">
        <v>0.85</v>
      </c>
      <c r="L326">
        <v>0.36</v>
      </c>
      <c r="M326" t="s">
        <v>17</v>
      </c>
    </row>
    <row r="327" spans="1:13" x14ac:dyDescent="0.2">
      <c r="A327">
        <v>326</v>
      </c>
      <c r="B327">
        <v>45</v>
      </c>
      <c r="C327" t="s">
        <v>18</v>
      </c>
      <c r="D327" t="s">
        <v>19</v>
      </c>
      <c r="E327" t="s">
        <v>27</v>
      </c>
      <c r="F327" t="s">
        <v>16</v>
      </c>
      <c r="G327">
        <v>8</v>
      </c>
      <c r="H327">
        <v>2049.67</v>
      </c>
      <c r="I327">
        <v>108.42</v>
      </c>
      <c r="J327">
        <v>26</v>
      </c>
      <c r="K327">
        <v>0.37</v>
      </c>
      <c r="L327">
        <v>0.32</v>
      </c>
      <c r="M327" t="s">
        <v>17</v>
      </c>
    </row>
    <row r="328" spans="1:13" x14ac:dyDescent="0.2">
      <c r="A328">
        <v>327</v>
      </c>
      <c r="B328">
        <v>30</v>
      </c>
      <c r="C328" t="s">
        <v>18</v>
      </c>
      <c r="D328" t="s">
        <v>19</v>
      </c>
      <c r="E328" t="s">
        <v>21</v>
      </c>
      <c r="F328" t="s">
        <v>20</v>
      </c>
      <c r="G328">
        <v>3</v>
      </c>
      <c r="H328">
        <v>319.83</v>
      </c>
      <c r="I328">
        <v>34.6</v>
      </c>
      <c r="J328">
        <v>208</v>
      </c>
      <c r="K328">
        <v>0.37</v>
      </c>
      <c r="L328">
        <v>0.19</v>
      </c>
      <c r="M328" t="s">
        <v>25</v>
      </c>
    </row>
    <row r="329" spans="1:13" x14ac:dyDescent="0.2">
      <c r="A329">
        <v>328</v>
      </c>
      <c r="B329">
        <v>31</v>
      </c>
      <c r="C329" t="s">
        <v>13</v>
      </c>
      <c r="D329" t="s">
        <v>19</v>
      </c>
      <c r="E329" t="s">
        <v>21</v>
      </c>
      <c r="F329" t="s">
        <v>16</v>
      </c>
      <c r="G329">
        <v>8</v>
      </c>
      <c r="H329">
        <v>2562.98</v>
      </c>
      <c r="I329">
        <v>248.01</v>
      </c>
      <c r="J329">
        <v>356</v>
      </c>
      <c r="K329">
        <v>0.08</v>
      </c>
      <c r="L329">
        <v>0.33</v>
      </c>
      <c r="M329" t="s">
        <v>25</v>
      </c>
    </row>
    <row r="330" spans="1:13" x14ac:dyDescent="0.2">
      <c r="A330">
        <v>329</v>
      </c>
      <c r="B330">
        <v>19</v>
      </c>
      <c r="C330" t="s">
        <v>18</v>
      </c>
      <c r="D330" t="s">
        <v>26</v>
      </c>
      <c r="E330" t="s">
        <v>27</v>
      </c>
      <c r="F330" t="s">
        <v>16</v>
      </c>
      <c r="G330">
        <v>20</v>
      </c>
      <c r="H330">
        <v>2221.02</v>
      </c>
      <c r="I330">
        <v>102.07</v>
      </c>
      <c r="J330">
        <v>286</v>
      </c>
      <c r="K330">
        <v>0.22</v>
      </c>
      <c r="L330">
        <v>0.05</v>
      </c>
      <c r="M330" t="s">
        <v>17</v>
      </c>
    </row>
    <row r="331" spans="1:13" x14ac:dyDescent="0.2">
      <c r="A331">
        <v>330</v>
      </c>
      <c r="B331">
        <v>34</v>
      </c>
      <c r="C331" t="s">
        <v>18</v>
      </c>
      <c r="D331" t="s">
        <v>26</v>
      </c>
      <c r="E331" t="s">
        <v>27</v>
      </c>
      <c r="F331" t="s">
        <v>22</v>
      </c>
      <c r="G331">
        <v>6</v>
      </c>
      <c r="H331">
        <v>2306.1999999999998</v>
      </c>
      <c r="I331">
        <v>151.91</v>
      </c>
      <c r="J331">
        <v>167</v>
      </c>
      <c r="K331">
        <v>0.66</v>
      </c>
      <c r="L331">
        <v>0.04</v>
      </c>
      <c r="M331" t="s">
        <v>17</v>
      </c>
    </row>
    <row r="332" spans="1:13" x14ac:dyDescent="0.2">
      <c r="A332">
        <v>331</v>
      </c>
      <c r="B332">
        <v>31</v>
      </c>
      <c r="C332" t="s">
        <v>18</v>
      </c>
      <c r="D332" t="s">
        <v>14</v>
      </c>
      <c r="E332" t="s">
        <v>15</v>
      </c>
      <c r="F332" t="s">
        <v>22</v>
      </c>
      <c r="G332">
        <v>6</v>
      </c>
      <c r="H332">
        <v>134.71</v>
      </c>
      <c r="I332">
        <v>154.41</v>
      </c>
      <c r="J332">
        <v>351</v>
      </c>
      <c r="K332">
        <v>0.61</v>
      </c>
      <c r="L332">
        <v>0.23</v>
      </c>
      <c r="M332" t="s">
        <v>25</v>
      </c>
    </row>
    <row r="333" spans="1:13" x14ac:dyDescent="0.2">
      <c r="A333">
        <v>332</v>
      </c>
      <c r="B333">
        <v>36</v>
      </c>
      <c r="C333" t="s">
        <v>13</v>
      </c>
      <c r="D333" t="s">
        <v>26</v>
      </c>
      <c r="E333" t="s">
        <v>24</v>
      </c>
      <c r="F333" t="s">
        <v>16</v>
      </c>
      <c r="G333">
        <v>4</v>
      </c>
      <c r="H333">
        <v>2168.77</v>
      </c>
      <c r="I333">
        <v>51.99</v>
      </c>
      <c r="J333">
        <v>331</v>
      </c>
      <c r="K333">
        <v>0.14000000000000001</v>
      </c>
      <c r="L333">
        <v>0.2</v>
      </c>
      <c r="M333" t="s">
        <v>25</v>
      </c>
    </row>
    <row r="334" spans="1:13" x14ac:dyDescent="0.2">
      <c r="A334">
        <v>333</v>
      </c>
      <c r="B334">
        <v>50</v>
      </c>
      <c r="C334" t="s">
        <v>13</v>
      </c>
      <c r="D334" t="s">
        <v>23</v>
      </c>
      <c r="E334" t="s">
        <v>24</v>
      </c>
      <c r="F334" t="s">
        <v>20</v>
      </c>
      <c r="G334">
        <v>10</v>
      </c>
      <c r="H334">
        <v>477.96</v>
      </c>
      <c r="I334">
        <v>180.68</v>
      </c>
      <c r="J334">
        <v>227</v>
      </c>
      <c r="K334">
        <v>0.31</v>
      </c>
      <c r="L334">
        <v>0.08</v>
      </c>
      <c r="M334" t="s">
        <v>25</v>
      </c>
    </row>
    <row r="335" spans="1:13" x14ac:dyDescent="0.2">
      <c r="A335">
        <v>334</v>
      </c>
      <c r="B335">
        <v>33</v>
      </c>
      <c r="C335" t="s">
        <v>13</v>
      </c>
      <c r="D335" t="s">
        <v>23</v>
      </c>
      <c r="E335" t="s">
        <v>24</v>
      </c>
      <c r="F335" t="s">
        <v>16</v>
      </c>
      <c r="G335">
        <v>9</v>
      </c>
      <c r="H335">
        <v>94.25</v>
      </c>
      <c r="I335">
        <v>230.46</v>
      </c>
      <c r="J335">
        <v>282</v>
      </c>
      <c r="K335">
        <v>0.13</v>
      </c>
      <c r="L335">
        <v>0.1</v>
      </c>
      <c r="M335" t="s">
        <v>17</v>
      </c>
    </row>
    <row r="336" spans="1:13" x14ac:dyDescent="0.2">
      <c r="A336">
        <v>335</v>
      </c>
      <c r="B336">
        <v>55</v>
      </c>
      <c r="C336" t="s">
        <v>13</v>
      </c>
      <c r="D336" t="s">
        <v>14</v>
      </c>
      <c r="E336" t="s">
        <v>15</v>
      </c>
      <c r="F336" t="s">
        <v>20</v>
      </c>
      <c r="G336">
        <v>18</v>
      </c>
      <c r="H336">
        <v>2146.58</v>
      </c>
      <c r="I336">
        <v>227.61</v>
      </c>
      <c r="J336">
        <v>343</v>
      </c>
      <c r="K336">
        <v>0.18</v>
      </c>
      <c r="L336">
        <v>0.01</v>
      </c>
      <c r="M336" t="s">
        <v>17</v>
      </c>
    </row>
    <row r="337" spans="1:13" x14ac:dyDescent="0.2">
      <c r="A337">
        <v>336</v>
      </c>
      <c r="B337">
        <v>38</v>
      </c>
      <c r="C337" t="s">
        <v>13</v>
      </c>
      <c r="D337" t="s">
        <v>23</v>
      </c>
      <c r="E337" t="s">
        <v>27</v>
      </c>
      <c r="F337" t="s">
        <v>22</v>
      </c>
      <c r="G337">
        <v>1</v>
      </c>
      <c r="H337">
        <v>2099.2600000000002</v>
      </c>
      <c r="I337">
        <v>41.91</v>
      </c>
      <c r="J337">
        <v>162</v>
      </c>
      <c r="K337">
        <v>0.2</v>
      </c>
      <c r="L337">
        <v>0.36</v>
      </c>
      <c r="M337" t="s">
        <v>17</v>
      </c>
    </row>
    <row r="338" spans="1:13" x14ac:dyDescent="0.2">
      <c r="A338">
        <v>337</v>
      </c>
      <c r="B338">
        <v>34</v>
      </c>
      <c r="C338" t="s">
        <v>18</v>
      </c>
      <c r="D338" t="s">
        <v>14</v>
      </c>
      <c r="E338" t="s">
        <v>21</v>
      </c>
      <c r="F338" t="s">
        <v>20</v>
      </c>
      <c r="G338">
        <v>1</v>
      </c>
      <c r="H338">
        <v>2339.61</v>
      </c>
      <c r="I338">
        <v>65.83</v>
      </c>
      <c r="J338">
        <v>234</v>
      </c>
      <c r="K338">
        <v>0.3</v>
      </c>
      <c r="L338">
        <v>0.28000000000000003</v>
      </c>
      <c r="M338" t="s">
        <v>25</v>
      </c>
    </row>
    <row r="339" spans="1:13" x14ac:dyDescent="0.2">
      <c r="A339">
        <v>338</v>
      </c>
      <c r="B339">
        <v>52</v>
      </c>
      <c r="C339" t="s">
        <v>13</v>
      </c>
      <c r="D339" t="s">
        <v>19</v>
      </c>
      <c r="E339" t="s">
        <v>24</v>
      </c>
      <c r="F339" t="s">
        <v>20</v>
      </c>
      <c r="G339">
        <v>4</v>
      </c>
      <c r="H339">
        <v>733.12</v>
      </c>
      <c r="I339">
        <v>118.04</v>
      </c>
      <c r="J339">
        <v>296</v>
      </c>
      <c r="K339">
        <v>0.88</v>
      </c>
      <c r="L339">
        <v>0.38</v>
      </c>
      <c r="M339" t="s">
        <v>17</v>
      </c>
    </row>
    <row r="340" spans="1:13" x14ac:dyDescent="0.2">
      <c r="A340">
        <v>339</v>
      </c>
      <c r="B340">
        <v>44</v>
      </c>
      <c r="C340" t="s">
        <v>18</v>
      </c>
      <c r="D340" t="s">
        <v>23</v>
      </c>
      <c r="E340" t="s">
        <v>21</v>
      </c>
      <c r="F340" t="s">
        <v>16</v>
      </c>
      <c r="G340">
        <v>23</v>
      </c>
      <c r="H340">
        <v>605.53</v>
      </c>
      <c r="I340">
        <v>151.51</v>
      </c>
      <c r="J340">
        <v>1</v>
      </c>
      <c r="K340">
        <v>0.9</v>
      </c>
      <c r="L340">
        <v>0.39</v>
      </c>
      <c r="M340" t="s">
        <v>25</v>
      </c>
    </row>
    <row r="341" spans="1:13" x14ac:dyDescent="0.2">
      <c r="A341">
        <v>340</v>
      </c>
      <c r="B341">
        <v>26</v>
      </c>
      <c r="C341" t="s">
        <v>18</v>
      </c>
      <c r="D341" t="s">
        <v>23</v>
      </c>
      <c r="E341" t="s">
        <v>27</v>
      </c>
      <c r="F341" t="s">
        <v>20</v>
      </c>
      <c r="G341">
        <v>24</v>
      </c>
      <c r="H341">
        <v>2679.4</v>
      </c>
      <c r="I341">
        <v>42.77</v>
      </c>
      <c r="J341">
        <v>243</v>
      </c>
      <c r="K341">
        <v>0.71</v>
      </c>
      <c r="L341">
        <v>0.17</v>
      </c>
      <c r="M341" t="s">
        <v>25</v>
      </c>
    </row>
    <row r="342" spans="1:13" x14ac:dyDescent="0.2">
      <c r="A342">
        <v>341</v>
      </c>
      <c r="B342">
        <v>21</v>
      </c>
      <c r="C342" t="s">
        <v>18</v>
      </c>
      <c r="D342" t="s">
        <v>14</v>
      </c>
      <c r="E342" t="s">
        <v>15</v>
      </c>
      <c r="F342" t="s">
        <v>16</v>
      </c>
      <c r="G342">
        <v>7</v>
      </c>
      <c r="H342">
        <v>250.84</v>
      </c>
      <c r="I342">
        <v>202.14</v>
      </c>
      <c r="J342">
        <v>332</v>
      </c>
      <c r="K342">
        <v>0.43</v>
      </c>
      <c r="L342">
        <v>0.28999999999999998</v>
      </c>
      <c r="M342" t="s">
        <v>25</v>
      </c>
    </row>
    <row r="343" spans="1:13" x14ac:dyDescent="0.2">
      <c r="A343">
        <v>342</v>
      </c>
      <c r="B343">
        <v>40</v>
      </c>
      <c r="C343" t="s">
        <v>18</v>
      </c>
      <c r="D343" t="s">
        <v>23</v>
      </c>
      <c r="E343" t="s">
        <v>15</v>
      </c>
      <c r="F343" t="s">
        <v>22</v>
      </c>
      <c r="G343">
        <v>9</v>
      </c>
      <c r="H343">
        <v>2745.86</v>
      </c>
      <c r="I343">
        <v>202.4</v>
      </c>
      <c r="J343">
        <v>241</v>
      </c>
      <c r="K343">
        <v>0.45</v>
      </c>
      <c r="L343">
        <v>0.15</v>
      </c>
      <c r="M343" t="s">
        <v>17</v>
      </c>
    </row>
    <row r="344" spans="1:13" x14ac:dyDescent="0.2">
      <c r="A344">
        <v>343</v>
      </c>
      <c r="B344">
        <v>47</v>
      </c>
      <c r="C344" t="s">
        <v>13</v>
      </c>
      <c r="D344" t="s">
        <v>23</v>
      </c>
      <c r="E344" t="s">
        <v>21</v>
      </c>
      <c r="F344" t="s">
        <v>20</v>
      </c>
      <c r="G344">
        <v>1</v>
      </c>
      <c r="H344">
        <v>2425.2800000000002</v>
      </c>
      <c r="I344">
        <v>74.75</v>
      </c>
      <c r="J344">
        <v>262</v>
      </c>
      <c r="K344">
        <v>0.7</v>
      </c>
      <c r="L344">
        <v>0.32</v>
      </c>
      <c r="M344" t="s">
        <v>25</v>
      </c>
    </row>
    <row r="345" spans="1:13" x14ac:dyDescent="0.2">
      <c r="A345">
        <v>344</v>
      </c>
      <c r="B345">
        <v>60</v>
      </c>
      <c r="C345" t="s">
        <v>13</v>
      </c>
      <c r="D345" t="s">
        <v>19</v>
      </c>
      <c r="E345" t="s">
        <v>21</v>
      </c>
      <c r="F345" t="s">
        <v>20</v>
      </c>
      <c r="G345">
        <v>20</v>
      </c>
      <c r="H345">
        <v>2287.44</v>
      </c>
      <c r="I345">
        <v>203.24</v>
      </c>
      <c r="J345">
        <v>176</v>
      </c>
      <c r="K345">
        <v>0.82</v>
      </c>
      <c r="L345">
        <v>0.34</v>
      </c>
      <c r="M345" t="s">
        <v>17</v>
      </c>
    </row>
    <row r="346" spans="1:13" x14ac:dyDescent="0.2">
      <c r="A346">
        <v>345</v>
      </c>
      <c r="B346">
        <v>55</v>
      </c>
      <c r="C346" t="s">
        <v>13</v>
      </c>
      <c r="D346" t="s">
        <v>26</v>
      </c>
      <c r="E346" t="s">
        <v>24</v>
      </c>
      <c r="F346" t="s">
        <v>16</v>
      </c>
      <c r="G346">
        <v>21</v>
      </c>
      <c r="H346">
        <v>618.83000000000004</v>
      </c>
      <c r="I346">
        <v>52.46</v>
      </c>
      <c r="J346">
        <v>304</v>
      </c>
      <c r="K346">
        <v>0.68</v>
      </c>
      <c r="L346">
        <v>0.05</v>
      </c>
      <c r="M346" t="s">
        <v>25</v>
      </c>
    </row>
    <row r="347" spans="1:13" x14ac:dyDescent="0.2">
      <c r="A347">
        <v>346</v>
      </c>
      <c r="B347">
        <v>51</v>
      </c>
      <c r="C347" t="s">
        <v>13</v>
      </c>
      <c r="D347" t="s">
        <v>26</v>
      </c>
      <c r="E347" t="s">
        <v>24</v>
      </c>
      <c r="F347" t="s">
        <v>22</v>
      </c>
      <c r="G347">
        <v>19</v>
      </c>
      <c r="H347">
        <v>2170.2199999999998</v>
      </c>
      <c r="I347">
        <v>36.57</v>
      </c>
      <c r="J347">
        <v>280</v>
      </c>
      <c r="K347">
        <v>0.56999999999999995</v>
      </c>
      <c r="L347">
        <v>0.01</v>
      </c>
      <c r="M347" t="s">
        <v>17</v>
      </c>
    </row>
    <row r="348" spans="1:13" x14ac:dyDescent="0.2">
      <c r="A348">
        <v>347</v>
      </c>
      <c r="B348">
        <v>44</v>
      </c>
      <c r="C348" t="s">
        <v>13</v>
      </c>
      <c r="D348" t="s">
        <v>23</v>
      </c>
      <c r="E348" t="s">
        <v>21</v>
      </c>
      <c r="F348" t="s">
        <v>20</v>
      </c>
      <c r="G348">
        <v>15</v>
      </c>
      <c r="H348">
        <v>309.42</v>
      </c>
      <c r="I348">
        <v>241.48</v>
      </c>
      <c r="J348">
        <v>195</v>
      </c>
      <c r="K348">
        <v>0.18</v>
      </c>
      <c r="L348">
        <v>0.09</v>
      </c>
      <c r="M348" t="s">
        <v>25</v>
      </c>
    </row>
    <row r="349" spans="1:13" x14ac:dyDescent="0.2">
      <c r="A349">
        <v>348</v>
      </c>
      <c r="B349">
        <v>50</v>
      </c>
      <c r="C349" t="s">
        <v>18</v>
      </c>
      <c r="D349" t="s">
        <v>23</v>
      </c>
      <c r="E349" t="s">
        <v>27</v>
      </c>
      <c r="F349" t="s">
        <v>20</v>
      </c>
      <c r="G349">
        <v>17</v>
      </c>
      <c r="H349">
        <v>901.28</v>
      </c>
      <c r="I349">
        <v>98.55</v>
      </c>
      <c r="J349">
        <v>121</v>
      </c>
      <c r="K349">
        <v>0.56000000000000005</v>
      </c>
      <c r="L349">
        <v>0.23</v>
      </c>
      <c r="M349" t="s">
        <v>25</v>
      </c>
    </row>
    <row r="350" spans="1:13" x14ac:dyDescent="0.2">
      <c r="A350">
        <v>349</v>
      </c>
      <c r="B350">
        <v>26</v>
      </c>
      <c r="C350" t="s">
        <v>13</v>
      </c>
      <c r="D350" t="s">
        <v>19</v>
      </c>
      <c r="E350" t="s">
        <v>15</v>
      </c>
      <c r="F350" t="s">
        <v>20</v>
      </c>
      <c r="G350">
        <v>8</v>
      </c>
      <c r="H350">
        <v>2459.65</v>
      </c>
      <c r="I350">
        <v>103.41</v>
      </c>
      <c r="J350">
        <v>323</v>
      </c>
      <c r="K350">
        <v>0.76</v>
      </c>
      <c r="L350">
        <v>0.15</v>
      </c>
      <c r="M350" t="s">
        <v>17</v>
      </c>
    </row>
    <row r="351" spans="1:13" x14ac:dyDescent="0.2">
      <c r="A351">
        <v>350</v>
      </c>
      <c r="B351">
        <v>52</v>
      </c>
      <c r="C351" t="s">
        <v>18</v>
      </c>
      <c r="D351" t="s">
        <v>23</v>
      </c>
      <c r="E351" t="s">
        <v>27</v>
      </c>
      <c r="F351" t="s">
        <v>20</v>
      </c>
      <c r="G351">
        <v>23</v>
      </c>
      <c r="H351">
        <v>1226.97</v>
      </c>
      <c r="I351">
        <v>216.24</v>
      </c>
      <c r="J351">
        <v>194</v>
      </c>
      <c r="K351">
        <v>0.71</v>
      </c>
      <c r="L351">
        <v>0</v>
      </c>
      <c r="M351" t="s">
        <v>25</v>
      </c>
    </row>
    <row r="352" spans="1:13" x14ac:dyDescent="0.2">
      <c r="A352">
        <v>351</v>
      </c>
      <c r="B352">
        <v>27</v>
      </c>
      <c r="C352" t="s">
        <v>13</v>
      </c>
      <c r="D352" t="s">
        <v>23</v>
      </c>
      <c r="E352" t="s">
        <v>15</v>
      </c>
      <c r="F352" t="s">
        <v>22</v>
      </c>
      <c r="G352">
        <v>15</v>
      </c>
      <c r="H352">
        <v>1099.9000000000001</v>
      </c>
      <c r="I352">
        <v>76.400000000000006</v>
      </c>
      <c r="J352">
        <v>182</v>
      </c>
      <c r="K352">
        <v>0.08</v>
      </c>
      <c r="L352">
        <v>0.33</v>
      </c>
      <c r="M352" t="s">
        <v>17</v>
      </c>
    </row>
    <row r="353" spans="1:13" x14ac:dyDescent="0.2">
      <c r="A353">
        <v>352</v>
      </c>
      <c r="B353">
        <v>51</v>
      </c>
      <c r="C353" t="s">
        <v>18</v>
      </c>
      <c r="D353" t="s">
        <v>19</v>
      </c>
      <c r="E353" t="s">
        <v>15</v>
      </c>
      <c r="F353" t="s">
        <v>16</v>
      </c>
      <c r="G353">
        <v>4</v>
      </c>
      <c r="H353">
        <v>2540.87</v>
      </c>
      <c r="I353">
        <v>220.76</v>
      </c>
      <c r="J353">
        <v>365</v>
      </c>
      <c r="K353">
        <v>0.65</v>
      </c>
      <c r="L353">
        <v>0.31</v>
      </c>
      <c r="M353" t="s">
        <v>17</v>
      </c>
    </row>
    <row r="354" spans="1:13" x14ac:dyDescent="0.2">
      <c r="A354">
        <v>353</v>
      </c>
      <c r="B354">
        <v>50</v>
      </c>
      <c r="C354" t="s">
        <v>18</v>
      </c>
      <c r="D354" t="s">
        <v>23</v>
      </c>
      <c r="E354" t="s">
        <v>21</v>
      </c>
      <c r="F354" t="s">
        <v>22</v>
      </c>
      <c r="G354">
        <v>12</v>
      </c>
      <c r="H354">
        <v>1420.17</v>
      </c>
      <c r="I354">
        <v>184.61</v>
      </c>
      <c r="J354">
        <v>33</v>
      </c>
      <c r="K354">
        <v>0.31</v>
      </c>
      <c r="L354">
        <v>0.19</v>
      </c>
      <c r="M354" t="s">
        <v>17</v>
      </c>
    </row>
    <row r="355" spans="1:13" x14ac:dyDescent="0.2">
      <c r="A355">
        <v>354</v>
      </c>
      <c r="B355">
        <v>19</v>
      </c>
      <c r="C355" t="s">
        <v>13</v>
      </c>
      <c r="D355" t="s">
        <v>23</v>
      </c>
      <c r="E355" t="s">
        <v>21</v>
      </c>
      <c r="F355" t="s">
        <v>20</v>
      </c>
      <c r="G355">
        <v>4</v>
      </c>
      <c r="H355">
        <v>1902.7</v>
      </c>
      <c r="I355">
        <v>96.92</v>
      </c>
      <c r="J355">
        <v>202</v>
      </c>
      <c r="K355">
        <v>0.15</v>
      </c>
      <c r="L355">
        <v>0.02</v>
      </c>
      <c r="M355" t="s">
        <v>17</v>
      </c>
    </row>
    <row r="356" spans="1:13" x14ac:dyDescent="0.2">
      <c r="A356">
        <v>355</v>
      </c>
      <c r="B356">
        <v>46</v>
      </c>
      <c r="C356" t="s">
        <v>13</v>
      </c>
      <c r="D356" t="s">
        <v>26</v>
      </c>
      <c r="E356" t="s">
        <v>27</v>
      </c>
      <c r="F356" t="s">
        <v>22</v>
      </c>
      <c r="G356">
        <v>23</v>
      </c>
      <c r="H356">
        <v>1904.43</v>
      </c>
      <c r="I356">
        <v>181.97</v>
      </c>
      <c r="J356">
        <v>270</v>
      </c>
      <c r="K356">
        <v>0.87</v>
      </c>
      <c r="L356">
        <v>0.36</v>
      </c>
      <c r="M356" t="s">
        <v>25</v>
      </c>
    </row>
    <row r="357" spans="1:13" x14ac:dyDescent="0.2">
      <c r="A357">
        <v>356</v>
      </c>
      <c r="B357">
        <v>29</v>
      </c>
      <c r="C357" t="s">
        <v>18</v>
      </c>
      <c r="D357" t="s">
        <v>26</v>
      </c>
      <c r="E357" t="s">
        <v>27</v>
      </c>
      <c r="F357" t="s">
        <v>16</v>
      </c>
      <c r="G357">
        <v>6</v>
      </c>
      <c r="H357">
        <v>2596.14</v>
      </c>
      <c r="I357">
        <v>174.5</v>
      </c>
      <c r="J357">
        <v>137</v>
      </c>
      <c r="K357">
        <v>0.61</v>
      </c>
      <c r="L357">
        <v>0.21</v>
      </c>
      <c r="M357" t="s">
        <v>25</v>
      </c>
    </row>
    <row r="358" spans="1:13" x14ac:dyDescent="0.2">
      <c r="A358">
        <v>357</v>
      </c>
      <c r="B358">
        <v>56</v>
      </c>
      <c r="C358" t="s">
        <v>18</v>
      </c>
      <c r="D358" t="s">
        <v>19</v>
      </c>
      <c r="E358" t="s">
        <v>27</v>
      </c>
      <c r="F358" t="s">
        <v>22</v>
      </c>
      <c r="G358">
        <v>2</v>
      </c>
      <c r="H358">
        <v>2813.38</v>
      </c>
      <c r="I358">
        <v>223.24</v>
      </c>
      <c r="J358">
        <v>314</v>
      </c>
      <c r="K358">
        <v>0.67</v>
      </c>
      <c r="L358">
        <v>0.03</v>
      </c>
      <c r="M358" t="s">
        <v>25</v>
      </c>
    </row>
    <row r="359" spans="1:13" x14ac:dyDescent="0.2">
      <c r="A359">
        <v>358</v>
      </c>
      <c r="B359">
        <v>18</v>
      </c>
      <c r="C359" t="s">
        <v>18</v>
      </c>
      <c r="D359" t="s">
        <v>14</v>
      </c>
      <c r="E359" t="s">
        <v>21</v>
      </c>
      <c r="F359" t="s">
        <v>20</v>
      </c>
      <c r="G359">
        <v>9</v>
      </c>
      <c r="H359">
        <v>570.36</v>
      </c>
      <c r="I359">
        <v>199.99</v>
      </c>
      <c r="J359">
        <v>338</v>
      </c>
      <c r="K359">
        <v>0.12</v>
      </c>
      <c r="L359">
        <v>0.13</v>
      </c>
      <c r="M359" t="s">
        <v>25</v>
      </c>
    </row>
    <row r="360" spans="1:13" x14ac:dyDescent="0.2">
      <c r="A360">
        <v>359</v>
      </c>
      <c r="B360">
        <v>27</v>
      </c>
      <c r="C360" t="s">
        <v>13</v>
      </c>
      <c r="D360" t="s">
        <v>23</v>
      </c>
      <c r="E360" t="s">
        <v>21</v>
      </c>
      <c r="F360" t="s">
        <v>16</v>
      </c>
      <c r="G360">
        <v>4</v>
      </c>
      <c r="H360">
        <v>1131.42</v>
      </c>
      <c r="I360">
        <v>135.86000000000001</v>
      </c>
      <c r="J360">
        <v>347</v>
      </c>
      <c r="K360">
        <v>0.75</v>
      </c>
      <c r="L360">
        <v>0.25</v>
      </c>
      <c r="M360" t="s">
        <v>17</v>
      </c>
    </row>
    <row r="361" spans="1:13" x14ac:dyDescent="0.2">
      <c r="A361">
        <v>360</v>
      </c>
      <c r="B361">
        <v>29</v>
      </c>
      <c r="C361" t="s">
        <v>18</v>
      </c>
      <c r="D361" t="s">
        <v>14</v>
      </c>
      <c r="E361" t="s">
        <v>15</v>
      </c>
      <c r="F361" t="s">
        <v>16</v>
      </c>
      <c r="G361">
        <v>15</v>
      </c>
      <c r="H361">
        <v>2408.1999999999998</v>
      </c>
      <c r="I361">
        <v>225.67</v>
      </c>
      <c r="J361">
        <v>165</v>
      </c>
      <c r="K361">
        <v>0.84</v>
      </c>
      <c r="L361">
        <v>0.35</v>
      </c>
      <c r="M361" t="s">
        <v>25</v>
      </c>
    </row>
    <row r="362" spans="1:13" x14ac:dyDescent="0.2">
      <c r="A362">
        <v>361</v>
      </c>
      <c r="B362">
        <v>27</v>
      </c>
      <c r="C362" t="s">
        <v>18</v>
      </c>
      <c r="D362" t="s">
        <v>26</v>
      </c>
      <c r="E362" t="s">
        <v>15</v>
      </c>
      <c r="F362" t="s">
        <v>20</v>
      </c>
      <c r="G362">
        <v>16</v>
      </c>
      <c r="H362">
        <v>2088.31</v>
      </c>
      <c r="I362">
        <v>206.12</v>
      </c>
      <c r="J362">
        <v>37</v>
      </c>
      <c r="K362">
        <v>0.81</v>
      </c>
      <c r="L362">
        <v>0.19</v>
      </c>
      <c r="M362" t="s">
        <v>17</v>
      </c>
    </row>
    <row r="363" spans="1:13" x14ac:dyDescent="0.2">
      <c r="A363">
        <v>362</v>
      </c>
      <c r="B363">
        <v>48</v>
      </c>
      <c r="C363" t="s">
        <v>18</v>
      </c>
      <c r="D363" t="s">
        <v>23</v>
      </c>
      <c r="E363" t="s">
        <v>27</v>
      </c>
      <c r="F363" t="s">
        <v>20</v>
      </c>
      <c r="G363">
        <v>19</v>
      </c>
      <c r="H363">
        <v>2695.98</v>
      </c>
      <c r="I363">
        <v>249.23</v>
      </c>
      <c r="J363">
        <v>322</v>
      </c>
      <c r="K363">
        <v>0.67</v>
      </c>
      <c r="L363">
        <v>0.26</v>
      </c>
      <c r="M363" t="s">
        <v>17</v>
      </c>
    </row>
    <row r="364" spans="1:13" x14ac:dyDescent="0.2">
      <c r="A364">
        <v>363</v>
      </c>
      <c r="B364">
        <v>57</v>
      </c>
      <c r="C364" t="s">
        <v>13</v>
      </c>
      <c r="D364" t="s">
        <v>26</v>
      </c>
      <c r="E364" t="s">
        <v>24</v>
      </c>
      <c r="F364" t="s">
        <v>16</v>
      </c>
      <c r="G364">
        <v>17</v>
      </c>
      <c r="H364">
        <v>124.53</v>
      </c>
      <c r="I364">
        <v>54.69</v>
      </c>
      <c r="J364">
        <v>279</v>
      </c>
      <c r="K364">
        <v>0.75</v>
      </c>
      <c r="L364">
        <v>0.08</v>
      </c>
      <c r="M364" t="s">
        <v>25</v>
      </c>
    </row>
    <row r="365" spans="1:13" x14ac:dyDescent="0.2">
      <c r="A365">
        <v>364</v>
      </c>
      <c r="B365">
        <v>25</v>
      </c>
      <c r="C365" t="s">
        <v>18</v>
      </c>
      <c r="D365" t="s">
        <v>26</v>
      </c>
      <c r="E365" t="s">
        <v>15</v>
      </c>
      <c r="F365" t="s">
        <v>22</v>
      </c>
      <c r="G365">
        <v>25</v>
      </c>
      <c r="H365">
        <v>2126.17</v>
      </c>
      <c r="I365">
        <v>67.23</v>
      </c>
      <c r="J365">
        <v>341</v>
      </c>
      <c r="K365">
        <v>0.72</v>
      </c>
      <c r="L365">
        <v>0.1</v>
      </c>
      <c r="M365" t="s">
        <v>25</v>
      </c>
    </row>
    <row r="366" spans="1:13" x14ac:dyDescent="0.2">
      <c r="A366">
        <v>365</v>
      </c>
      <c r="B366">
        <v>53</v>
      </c>
      <c r="C366" t="s">
        <v>18</v>
      </c>
      <c r="D366" t="s">
        <v>19</v>
      </c>
      <c r="E366" t="s">
        <v>21</v>
      </c>
      <c r="F366" t="s">
        <v>16</v>
      </c>
      <c r="G366">
        <v>9</v>
      </c>
      <c r="H366">
        <v>1414.62</v>
      </c>
      <c r="I366">
        <v>224.42</v>
      </c>
      <c r="J366">
        <v>115</v>
      </c>
      <c r="K366">
        <v>0.53</v>
      </c>
      <c r="L366">
        <v>0.36</v>
      </c>
      <c r="M366" t="s">
        <v>17</v>
      </c>
    </row>
    <row r="367" spans="1:13" x14ac:dyDescent="0.2">
      <c r="A367">
        <v>366</v>
      </c>
      <c r="B367">
        <v>21</v>
      </c>
      <c r="C367" t="s">
        <v>18</v>
      </c>
      <c r="D367" t="s">
        <v>26</v>
      </c>
      <c r="E367" t="s">
        <v>24</v>
      </c>
      <c r="F367" t="s">
        <v>16</v>
      </c>
      <c r="G367">
        <v>4</v>
      </c>
      <c r="H367">
        <v>2999.82</v>
      </c>
      <c r="I367">
        <v>174.42</v>
      </c>
      <c r="J367">
        <v>314</v>
      </c>
      <c r="K367">
        <v>0.39</v>
      </c>
      <c r="L367">
        <v>0.15</v>
      </c>
      <c r="M367" t="s">
        <v>17</v>
      </c>
    </row>
    <row r="368" spans="1:13" x14ac:dyDescent="0.2">
      <c r="A368">
        <v>367</v>
      </c>
      <c r="B368">
        <v>38</v>
      </c>
      <c r="C368" t="s">
        <v>13</v>
      </c>
      <c r="D368" t="s">
        <v>14</v>
      </c>
      <c r="E368" t="s">
        <v>21</v>
      </c>
      <c r="F368" t="s">
        <v>20</v>
      </c>
      <c r="G368">
        <v>4</v>
      </c>
      <c r="H368">
        <v>1231.55</v>
      </c>
      <c r="I368">
        <v>113.15</v>
      </c>
      <c r="J368">
        <v>136</v>
      </c>
      <c r="K368">
        <v>0.74</v>
      </c>
      <c r="L368">
        <v>0.04</v>
      </c>
      <c r="M368" t="s">
        <v>17</v>
      </c>
    </row>
    <row r="369" spans="1:13" x14ac:dyDescent="0.2">
      <c r="A369">
        <v>368</v>
      </c>
      <c r="B369">
        <v>51</v>
      </c>
      <c r="C369" t="s">
        <v>13</v>
      </c>
      <c r="D369" t="s">
        <v>26</v>
      </c>
      <c r="E369" t="s">
        <v>21</v>
      </c>
      <c r="F369" t="s">
        <v>20</v>
      </c>
      <c r="G369">
        <v>4</v>
      </c>
      <c r="H369">
        <v>2722.83</v>
      </c>
      <c r="I369">
        <v>111.1</v>
      </c>
      <c r="J369">
        <v>135</v>
      </c>
      <c r="K369">
        <v>0.71</v>
      </c>
      <c r="L369">
        <v>0.24</v>
      </c>
      <c r="M369" t="s">
        <v>25</v>
      </c>
    </row>
    <row r="370" spans="1:13" x14ac:dyDescent="0.2">
      <c r="A370">
        <v>369</v>
      </c>
      <c r="B370">
        <v>51</v>
      </c>
      <c r="C370" t="s">
        <v>13</v>
      </c>
      <c r="D370" t="s">
        <v>26</v>
      </c>
      <c r="E370" t="s">
        <v>24</v>
      </c>
      <c r="F370" t="s">
        <v>22</v>
      </c>
      <c r="G370">
        <v>13</v>
      </c>
      <c r="H370">
        <v>338.21</v>
      </c>
      <c r="I370">
        <v>197.64</v>
      </c>
      <c r="J370">
        <v>243</v>
      </c>
      <c r="K370">
        <v>0.78</v>
      </c>
      <c r="L370">
        <v>0.05</v>
      </c>
      <c r="M370" t="s">
        <v>17</v>
      </c>
    </row>
    <row r="371" spans="1:13" x14ac:dyDescent="0.2">
      <c r="A371">
        <v>370</v>
      </c>
      <c r="B371">
        <v>53</v>
      </c>
      <c r="C371" t="s">
        <v>18</v>
      </c>
      <c r="D371" t="s">
        <v>23</v>
      </c>
      <c r="E371" t="s">
        <v>24</v>
      </c>
      <c r="F371" t="s">
        <v>16</v>
      </c>
      <c r="G371">
        <v>5</v>
      </c>
      <c r="H371">
        <v>909.86</v>
      </c>
      <c r="I371">
        <v>233.78</v>
      </c>
      <c r="J371">
        <v>179</v>
      </c>
      <c r="K371">
        <v>0.27</v>
      </c>
      <c r="L371">
        <v>0.08</v>
      </c>
      <c r="M371" t="s">
        <v>17</v>
      </c>
    </row>
    <row r="372" spans="1:13" x14ac:dyDescent="0.2">
      <c r="A372">
        <v>371</v>
      </c>
      <c r="B372">
        <v>48</v>
      </c>
      <c r="C372" t="s">
        <v>13</v>
      </c>
      <c r="D372" t="s">
        <v>19</v>
      </c>
      <c r="E372" t="s">
        <v>24</v>
      </c>
      <c r="F372" t="s">
        <v>22</v>
      </c>
      <c r="G372">
        <v>18</v>
      </c>
      <c r="H372">
        <v>849.12</v>
      </c>
      <c r="I372">
        <v>154.96</v>
      </c>
      <c r="J372">
        <v>268</v>
      </c>
      <c r="K372">
        <v>0.86</v>
      </c>
      <c r="L372">
        <v>0.18</v>
      </c>
      <c r="M372" t="s">
        <v>17</v>
      </c>
    </row>
    <row r="373" spans="1:13" x14ac:dyDescent="0.2">
      <c r="A373">
        <v>372</v>
      </c>
      <c r="B373">
        <v>24</v>
      </c>
      <c r="C373" t="s">
        <v>18</v>
      </c>
      <c r="D373" t="s">
        <v>26</v>
      </c>
      <c r="E373" t="s">
        <v>27</v>
      </c>
      <c r="F373" t="s">
        <v>20</v>
      </c>
      <c r="G373">
        <v>19</v>
      </c>
      <c r="H373">
        <v>1846.3</v>
      </c>
      <c r="I373">
        <v>53.08</v>
      </c>
      <c r="J373">
        <v>302</v>
      </c>
      <c r="K373">
        <v>0.48</v>
      </c>
      <c r="L373">
        <v>0.23</v>
      </c>
      <c r="M373" t="s">
        <v>25</v>
      </c>
    </row>
    <row r="374" spans="1:13" x14ac:dyDescent="0.2">
      <c r="A374">
        <v>373</v>
      </c>
      <c r="B374">
        <v>53</v>
      </c>
      <c r="C374" t="s">
        <v>18</v>
      </c>
      <c r="D374" t="s">
        <v>26</v>
      </c>
      <c r="E374" t="s">
        <v>24</v>
      </c>
      <c r="F374" t="s">
        <v>16</v>
      </c>
      <c r="G374">
        <v>8</v>
      </c>
      <c r="H374">
        <v>696.62</v>
      </c>
      <c r="I374">
        <v>185.57</v>
      </c>
      <c r="J374">
        <v>245</v>
      </c>
      <c r="K374">
        <v>0.85</v>
      </c>
      <c r="L374">
        <v>0.25</v>
      </c>
      <c r="M374" t="s">
        <v>17</v>
      </c>
    </row>
    <row r="375" spans="1:13" x14ac:dyDescent="0.2">
      <c r="A375">
        <v>374</v>
      </c>
      <c r="B375">
        <v>21</v>
      </c>
      <c r="C375" t="s">
        <v>18</v>
      </c>
      <c r="D375" t="s">
        <v>26</v>
      </c>
      <c r="E375" t="s">
        <v>21</v>
      </c>
      <c r="F375" t="s">
        <v>22</v>
      </c>
      <c r="G375">
        <v>8</v>
      </c>
      <c r="H375">
        <v>2048.38</v>
      </c>
      <c r="I375">
        <v>77.989999999999995</v>
      </c>
      <c r="J375">
        <v>293</v>
      </c>
      <c r="K375">
        <v>0.1</v>
      </c>
      <c r="L375">
        <v>0.28000000000000003</v>
      </c>
      <c r="M375" t="s">
        <v>17</v>
      </c>
    </row>
    <row r="376" spans="1:13" x14ac:dyDescent="0.2">
      <c r="A376">
        <v>375</v>
      </c>
      <c r="B376">
        <v>33</v>
      </c>
      <c r="C376" t="s">
        <v>18</v>
      </c>
      <c r="D376" t="s">
        <v>19</v>
      </c>
      <c r="E376" t="s">
        <v>24</v>
      </c>
      <c r="F376" t="s">
        <v>16</v>
      </c>
      <c r="G376">
        <v>5</v>
      </c>
      <c r="H376">
        <v>1243.75</v>
      </c>
      <c r="I376">
        <v>151.54</v>
      </c>
      <c r="J376">
        <v>114</v>
      </c>
      <c r="K376">
        <v>0.87</v>
      </c>
      <c r="L376">
        <v>0.18</v>
      </c>
      <c r="M376" t="s">
        <v>25</v>
      </c>
    </row>
    <row r="377" spans="1:13" x14ac:dyDescent="0.2">
      <c r="A377">
        <v>376</v>
      </c>
      <c r="B377">
        <v>30</v>
      </c>
      <c r="C377" t="s">
        <v>18</v>
      </c>
      <c r="D377" t="s">
        <v>19</v>
      </c>
      <c r="E377" t="s">
        <v>24</v>
      </c>
      <c r="F377" t="s">
        <v>20</v>
      </c>
      <c r="G377">
        <v>22</v>
      </c>
      <c r="H377">
        <v>1845.16</v>
      </c>
      <c r="I377">
        <v>171.54</v>
      </c>
      <c r="J377">
        <v>73</v>
      </c>
      <c r="K377">
        <v>0.71</v>
      </c>
      <c r="L377">
        <v>0.03</v>
      </c>
      <c r="M377" t="s">
        <v>25</v>
      </c>
    </row>
    <row r="378" spans="1:13" x14ac:dyDescent="0.2">
      <c r="A378">
        <v>377</v>
      </c>
      <c r="B378">
        <v>35</v>
      </c>
      <c r="C378" t="s">
        <v>13</v>
      </c>
      <c r="D378" t="s">
        <v>23</v>
      </c>
      <c r="E378" t="s">
        <v>15</v>
      </c>
      <c r="F378" t="s">
        <v>20</v>
      </c>
      <c r="G378">
        <v>19</v>
      </c>
      <c r="H378">
        <v>1320.57</v>
      </c>
      <c r="I378">
        <v>242.14</v>
      </c>
      <c r="J378">
        <v>34</v>
      </c>
      <c r="K378">
        <v>0.23</v>
      </c>
      <c r="L378">
        <v>0.28999999999999998</v>
      </c>
      <c r="M378" t="s">
        <v>25</v>
      </c>
    </row>
    <row r="379" spans="1:13" x14ac:dyDescent="0.2">
      <c r="A379">
        <v>378</v>
      </c>
      <c r="B379">
        <v>20</v>
      </c>
      <c r="C379" t="s">
        <v>13</v>
      </c>
      <c r="D379" t="s">
        <v>14</v>
      </c>
      <c r="E379" t="s">
        <v>21</v>
      </c>
      <c r="F379" t="s">
        <v>16</v>
      </c>
      <c r="G379">
        <v>15</v>
      </c>
      <c r="H379">
        <v>2283.0300000000002</v>
      </c>
      <c r="I379">
        <v>36.909999999999997</v>
      </c>
      <c r="J379">
        <v>271</v>
      </c>
      <c r="K379">
        <v>0.75</v>
      </c>
      <c r="L379">
        <v>0.02</v>
      </c>
      <c r="M379" t="s">
        <v>17</v>
      </c>
    </row>
    <row r="380" spans="1:13" x14ac:dyDescent="0.2">
      <c r="A380">
        <v>379</v>
      </c>
      <c r="B380">
        <v>24</v>
      </c>
      <c r="C380" t="s">
        <v>13</v>
      </c>
      <c r="D380" t="s">
        <v>19</v>
      </c>
      <c r="E380" t="s">
        <v>21</v>
      </c>
      <c r="F380" t="s">
        <v>22</v>
      </c>
      <c r="G380">
        <v>24</v>
      </c>
      <c r="H380">
        <v>510.76</v>
      </c>
      <c r="I380">
        <v>63.75</v>
      </c>
      <c r="J380">
        <v>187</v>
      </c>
      <c r="K380">
        <v>0.21</v>
      </c>
      <c r="L380">
        <v>0.19</v>
      </c>
      <c r="M380" t="s">
        <v>17</v>
      </c>
    </row>
    <row r="381" spans="1:13" x14ac:dyDescent="0.2">
      <c r="A381">
        <v>380</v>
      </c>
      <c r="B381">
        <v>50</v>
      </c>
      <c r="C381" t="s">
        <v>18</v>
      </c>
      <c r="D381" t="s">
        <v>19</v>
      </c>
      <c r="E381" t="s">
        <v>15</v>
      </c>
      <c r="F381" t="s">
        <v>20</v>
      </c>
      <c r="G381">
        <v>13</v>
      </c>
      <c r="H381">
        <v>2228.0500000000002</v>
      </c>
      <c r="I381">
        <v>232.7</v>
      </c>
      <c r="J381">
        <v>269</v>
      </c>
      <c r="K381">
        <v>0.18</v>
      </c>
      <c r="L381">
        <v>0.16</v>
      </c>
      <c r="M381" t="s">
        <v>25</v>
      </c>
    </row>
    <row r="382" spans="1:13" x14ac:dyDescent="0.2">
      <c r="A382">
        <v>381</v>
      </c>
      <c r="B382">
        <v>46</v>
      </c>
      <c r="C382" t="s">
        <v>18</v>
      </c>
      <c r="D382" t="s">
        <v>26</v>
      </c>
      <c r="E382" t="s">
        <v>24</v>
      </c>
      <c r="F382" t="s">
        <v>16</v>
      </c>
      <c r="G382">
        <v>6</v>
      </c>
      <c r="H382">
        <v>1679.42</v>
      </c>
      <c r="I382">
        <v>154.53</v>
      </c>
      <c r="J382">
        <v>105</v>
      </c>
      <c r="K382">
        <v>0.41</v>
      </c>
      <c r="L382">
        <v>0.27</v>
      </c>
      <c r="M382" t="s">
        <v>25</v>
      </c>
    </row>
    <row r="383" spans="1:13" x14ac:dyDescent="0.2">
      <c r="A383">
        <v>382</v>
      </c>
      <c r="B383">
        <v>53</v>
      </c>
      <c r="C383" t="s">
        <v>18</v>
      </c>
      <c r="D383" t="s">
        <v>14</v>
      </c>
      <c r="E383" t="s">
        <v>21</v>
      </c>
      <c r="F383" t="s">
        <v>22</v>
      </c>
      <c r="G383">
        <v>1</v>
      </c>
      <c r="H383">
        <v>1906.89</v>
      </c>
      <c r="I383">
        <v>89.97</v>
      </c>
      <c r="J383">
        <v>271</v>
      </c>
      <c r="K383">
        <v>0.21</v>
      </c>
      <c r="L383">
        <v>0.28999999999999998</v>
      </c>
      <c r="M383" t="s">
        <v>17</v>
      </c>
    </row>
    <row r="384" spans="1:13" x14ac:dyDescent="0.2">
      <c r="A384">
        <v>383</v>
      </c>
      <c r="B384">
        <v>19</v>
      </c>
      <c r="C384" t="s">
        <v>13</v>
      </c>
      <c r="D384" t="s">
        <v>14</v>
      </c>
      <c r="E384" t="s">
        <v>15</v>
      </c>
      <c r="F384" t="s">
        <v>20</v>
      </c>
      <c r="G384">
        <v>21</v>
      </c>
      <c r="H384">
        <v>2827.59</v>
      </c>
      <c r="I384">
        <v>101.3</v>
      </c>
      <c r="J384">
        <v>87</v>
      </c>
      <c r="K384">
        <v>0.44</v>
      </c>
      <c r="L384">
        <v>0.1</v>
      </c>
      <c r="M384" t="s">
        <v>17</v>
      </c>
    </row>
    <row r="385" spans="1:13" x14ac:dyDescent="0.2">
      <c r="A385">
        <v>384</v>
      </c>
      <c r="B385">
        <v>22</v>
      </c>
      <c r="C385" t="s">
        <v>13</v>
      </c>
      <c r="D385" t="s">
        <v>19</v>
      </c>
      <c r="E385" t="s">
        <v>24</v>
      </c>
      <c r="F385" t="s">
        <v>20</v>
      </c>
      <c r="G385">
        <v>13</v>
      </c>
      <c r="H385">
        <v>1715.42</v>
      </c>
      <c r="I385">
        <v>127.61</v>
      </c>
      <c r="J385">
        <v>188</v>
      </c>
      <c r="K385">
        <v>0.82</v>
      </c>
      <c r="L385">
        <v>0.26</v>
      </c>
      <c r="M385" t="s">
        <v>25</v>
      </c>
    </row>
    <row r="386" spans="1:13" x14ac:dyDescent="0.2">
      <c r="A386">
        <v>385</v>
      </c>
      <c r="B386">
        <v>46</v>
      </c>
      <c r="C386" t="s">
        <v>18</v>
      </c>
      <c r="D386" t="s">
        <v>14</v>
      </c>
      <c r="E386" t="s">
        <v>15</v>
      </c>
      <c r="F386" t="s">
        <v>16</v>
      </c>
      <c r="G386">
        <v>23</v>
      </c>
      <c r="H386">
        <v>721.58</v>
      </c>
      <c r="I386">
        <v>243.23</v>
      </c>
      <c r="J386">
        <v>123</v>
      </c>
      <c r="K386">
        <v>0.62</v>
      </c>
      <c r="L386">
        <v>0.28000000000000003</v>
      </c>
      <c r="M386" t="s">
        <v>17</v>
      </c>
    </row>
    <row r="387" spans="1:13" x14ac:dyDescent="0.2">
      <c r="A387">
        <v>386</v>
      </c>
      <c r="B387">
        <v>38</v>
      </c>
      <c r="C387" t="s">
        <v>18</v>
      </c>
      <c r="D387" t="s">
        <v>14</v>
      </c>
      <c r="E387" t="s">
        <v>21</v>
      </c>
      <c r="F387" t="s">
        <v>22</v>
      </c>
      <c r="G387">
        <v>14</v>
      </c>
      <c r="H387">
        <v>1518.78</v>
      </c>
      <c r="I387">
        <v>178.76</v>
      </c>
      <c r="J387">
        <v>345</v>
      </c>
      <c r="K387">
        <v>0.64</v>
      </c>
      <c r="L387">
        <v>0.19</v>
      </c>
      <c r="M387" t="s">
        <v>17</v>
      </c>
    </row>
    <row r="388" spans="1:13" x14ac:dyDescent="0.2">
      <c r="A388">
        <v>387</v>
      </c>
      <c r="B388">
        <v>57</v>
      </c>
      <c r="C388" t="s">
        <v>18</v>
      </c>
      <c r="D388" t="s">
        <v>23</v>
      </c>
      <c r="E388" t="s">
        <v>15</v>
      </c>
      <c r="F388" t="s">
        <v>16</v>
      </c>
      <c r="G388">
        <v>20</v>
      </c>
      <c r="H388">
        <v>1586.3</v>
      </c>
      <c r="I388">
        <v>185.88</v>
      </c>
      <c r="J388">
        <v>89</v>
      </c>
      <c r="K388">
        <v>0.35</v>
      </c>
      <c r="L388">
        <v>0.06</v>
      </c>
      <c r="M388" t="s">
        <v>25</v>
      </c>
    </row>
    <row r="389" spans="1:13" x14ac:dyDescent="0.2">
      <c r="A389">
        <v>388</v>
      </c>
      <c r="B389">
        <v>50</v>
      </c>
      <c r="C389" t="s">
        <v>13</v>
      </c>
      <c r="D389" t="s">
        <v>19</v>
      </c>
      <c r="E389" t="s">
        <v>21</v>
      </c>
      <c r="F389" t="s">
        <v>20</v>
      </c>
      <c r="G389">
        <v>20</v>
      </c>
      <c r="H389">
        <v>2780.79</v>
      </c>
      <c r="I389">
        <v>232.05</v>
      </c>
      <c r="J389">
        <v>79</v>
      </c>
      <c r="K389">
        <v>0.71</v>
      </c>
      <c r="L389">
        <v>0.36</v>
      </c>
      <c r="M389" t="s">
        <v>17</v>
      </c>
    </row>
    <row r="390" spans="1:13" x14ac:dyDescent="0.2">
      <c r="A390">
        <v>389</v>
      </c>
      <c r="B390">
        <v>56</v>
      </c>
      <c r="C390" t="s">
        <v>13</v>
      </c>
      <c r="D390" t="s">
        <v>14</v>
      </c>
      <c r="E390" t="s">
        <v>24</v>
      </c>
      <c r="F390" t="s">
        <v>22</v>
      </c>
      <c r="G390">
        <v>17</v>
      </c>
      <c r="H390">
        <v>2026.89</v>
      </c>
      <c r="I390">
        <v>212.88</v>
      </c>
      <c r="J390">
        <v>339</v>
      </c>
      <c r="K390">
        <v>0.71</v>
      </c>
      <c r="L390">
        <v>0.24</v>
      </c>
      <c r="M390" t="s">
        <v>25</v>
      </c>
    </row>
    <row r="391" spans="1:13" x14ac:dyDescent="0.2">
      <c r="A391">
        <v>390</v>
      </c>
      <c r="B391">
        <v>50</v>
      </c>
      <c r="C391" t="s">
        <v>13</v>
      </c>
      <c r="D391" t="s">
        <v>23</v>
      </c>
      <c r="E391" t="s">
        <v>21</v>
      </c>
      <c r="F391" t="s">
        <v>22</v>
      </c>
      <c r="G391">
        <v>2</v>
      </c>
      <c r="H391">
        <v>1747.06</v>
      </c>
      <c r="I391">
        <v>93.43</v>
      </c>
      <c r="J391">
        <v>236</v>
      </c>
      <c r="K391">
        <v>0.61</v>
      </c>
      <c r="L391">
        <v>0.03</v>
      </c>
      <c r="M391" t="s">
        <v>17</v>
      </c>
    </row>
    <row r="392" spans="1:13" x14ac:dyDescent="0.2">
      <c r="A392">
        <v>391</v>
      </c>
      <c r="B392">
        <v>30</v>
      </c>
      <c r="C392" t="s">
        <v>13</v>
      </c>
      <c r="D392" t="s">
        <v>19</v>
      </c>
      <c r="E392" t="s">
        <v>27</v>
      </c>
      <c r="F392" t="s">
        <v>20</v>
      </c>
      <c r="G392">
        <v>13</v>
      </c>
      <c r="H392">
        <v>2810.24</v>
      </c>
      <c r="I392">
        <v>60.3</v>
      </c>
      <c r="J392">
        <v>91</v>
      </c>
      <c r="K392">
        <v>0.85</v>
      </c>
      <c r="L392">
        <v>0.1</v>
      </c>
      <c r="M392" t="s">
        <v>17</v>
      </c>
    </row>
    <row r="393" spans="1:13" x14ac:dyDescent="0.2">
      <c r="A393">
        <v>392</v>
      </c>
      <c r="B393">
        <v>35</v>
      </c>
      <c r="C393" t="s">
        <v>13</v>
      </c>
      <c r="D393" t="s">
        <v>14</v>
      </c>
      <c r="E393" t="s">
        <v>15</v>
      </c>
      <c r="F393" t="s">
        <v>16</v>
      </c>
      <c r="G393">
        <v>2</v>
      </c>
      <c r="H393">
        <v>380.02</v>
      </c>
      <c r="I393">
        <v>226.48</v>
      </c>
      <c r="J393">
        <v>328</v>
      </c>
      <c r="K393">
        <v>0.74</v>
      </c>
      <c r="L393">
        <v>0.39</v>
      </c>
      <c r="M393" t="s">
        <v>25</v>
      </c>
    </row>
    <row r="394" spans="1:13" x14ac:dyDescent="0.2">
      <c r="A394">
        <v>393</v>
      </c>
      <c r="B394">
        <v>46</v>
      </c>
      <c r="C394" t="s">
        <v>13</v>
      </c>
      <c r="D394" t="s">
        <v>19</v>
      </c>
      <c r="E394" t="s">
        <v>15</v>
      </c>
      <c r="F394" t="s">
        <v>16</v>
      </c>
      <c r="G394">
        <v>25</v>
      </c>
      <c r="H394">
        <v>2302.9299999999998</v>
      </c>
      <c r="I394">
        <v>145.69</v>
      </c>
      <c r="J394">
        <v>334</v>
      </c>
      <c r="K394">
        <v>0.37</v>
      </c>
      <c r="L394">
        <v>0.09</v>
      </c>
      <c r="M394" t="s">
        <v>17</v>
      </c>
    </row>
    <row r="395" spans="1:13" x14ac:dyDescent="0.2">
      <c r="A395">
        <v>394</v>
      </c>
      <c r="B395">
        <v>50</v>
      </c>
      <c r="C395" t="s">
        <v>18</v>
      </c>
      <c r="D395" t="s">
        <v>14</v>
      </c>
      <c r="E395" t="s">
        <v>24</v>
      </c>
      <c r="F395" t="s">
        <v>20</v>
      </c>
      <c r="G395">
        <v>12</v>
      </c>
      <c r="H395">
        <v>1983.49</v>
      </c>
      <c r="I395">
        <v>194.45</v>
      </c>
      <c r="J395">
        <v>23</v>
      </c>
      <c r="K395">
        <v>0.08</v>
      </c>
      <c r="L395">
        <v>0.16</v>
      </c>
      <c r="M395" t="s">
        <v>25</v>
      </c>
    </row>
    <row r="396" spans="1:13" x14ac:dyDescent="0.2">
      <c r="A396">
        <v>395</v>
      </c>
      <c r="B396">
        <v>52</v>
      </c>
      <c r="C396" t="s">
        <v>13</v>
      </c>
      <c r="D396" t="s">
        <v>14</v>
      </c>
      <c r="E396" t="s">
        <v>15</v>
      </c>
      <c r="F396" t="s">
        <v>16</v>
      </c>
      <c r="G396">
        <v>11</v>
      </c>
      <c r="H396">
        <v>2708.16</v>
      </c>
      <c r="I396">
        <v>164.08</v>
      </c>
      <c r="J396">
        <v>165</v>
      </c>
      <c r="K396">
        <v>0.59</v>
      </c>
      <c r="L396">
        <v>0.32</v>
      </c>
      <c r="M396" t="s">
        <v>25</v>
      </c>
    </row>
    <row r="397" spans="1:13" x14ac:dyDescent="0.2">
      <c r="A397">
        <v>396</v>
      </c>
      <c r="B397">
        <v>48</v>
      </c>
      <c r="C397" t="s">
        <v>13</v>
      </c>
      <c r="D397" t="s">
        <v>26</v>
      </c>
      <c r="E397" t="s">
        <v>15</v>
      </c>
      <c r="F397" t="s">
        <v>20</v>
      </c>
      <c r="G397">
        <v>13</v>
      </c>
      <c r="H397">
        <v>2631.58</v>
      </c>
      <c r="I397">
        <v>74.489999999999995</v>
      </c>
      <c r="J397">
        <v>196</v>
      </c>
      <c r="K397">
        <v>0.75</v>
      </c>
      <c r="L397">
        <v>0.33</v>
      </c>
      <c r="M397" t="s">
        <v>17</v>
      </c>
    </row>
    <row r="398" spans="1:13" x14ac:dyDescent="0.2">
      <c r="A398">
        <v>397</v>
      </c>
      <c r="B398">
        <v>50</v>
      </c>
      <c r="C398" t="s">
        <v>13</v>
      </c>
      <c r="D398" t="s">
        <v>19</v>
      </c>
      <c r="E398" t="s">
        <v>21</v>
      </c>
      <c r="F398" t="s">
        <v>20</v>
      </c>
      <c r="G398">
        <v>8</v>
      </c>
      <c r="H398">
        <v>1776.11</v>
      </c>
      <c r="I398">
        <v>24.62</v>
      </c>
      <c r="J398">
        <v>186</v>
      </c>
      <c r="K398">
        <v>0.31</v>
      </c>
      <c r="L398">
        <v>0.25</v>
      </c>
      <c r="M398" t="s">
        <v>25</v>
      </c>
    </row>
    <row r="399" spans="1:13" x14ac:dyDescent="0.2">
      <c r="A399">
        <v>398</v>
      </c>
      <c r="B399">
        <v>33</v>
      </c>
      <c r="C399" t="s">
        <v>13</v>
      </c>
      <c r="D399" t="s">
        <v>19</v>
      </c>
      <c r="E399" t="s">
        <v>21</v>
      </c>
      <c r="F399" t="s">
        <v>16</v>
      </c>
      <c r="G399">
        <v>11</v>
      </c>
      <c r="H399">
        <v>2103.21</v>
      </c>
      <c r="I399">
        <v>30.97</v>
      </c>
      <c r="J399">
        <v>220</v>
      </c>
      <c r="K399">
        <v>0.54</v>
      </c>
      <c r="L399">
        <v>0.3</v>
      </c>
      <c r="M399" t="s">
        <v>17</v>
      </c>
    </row>
    <row r="400" spans="1:13" x14ac:dyDescent="0.2">
      <c r="A400">
        <v>399</v>
      </c>
      <c r="B400">
        <v>51</v>
      </c>
      <c r="C400" t="s">
        <v>13</v>
      </c>
      <c r="D400" t="s">
        <v>23</v>
      </c>
      <c r="E400" t="s">
        <v>21</v>
      </c>
      <c r="F400" t="s">
        <v>16</v>
      </c>
      <c r="G400">
        <v>23</v>
      </c>
      <c r="H400">
        <v>2923.68</v>
      </c>
      <c r="I400">
        <v>123.02</v>
      </c>
      <c r="J400">
        <v>63</v>
      </c>
      <c r="K400">
        <v>0.75</v>
      </c>
      <c r="L400">
        <v>0.02</v>
      </c>
      <c r="M400" t="s">
        <v>25</v>
      </c>
    </row>
    <row r="401" spans="1:13" x14ac:dyDescent="0.2">
      <c r="A401">
        <v>400</v>
      </c>
      <c r="B401">
        <v>34</v>
      </c>
      <c r="C401" t="s">
        <v>13</v>
      </c>
      <c r="D401" t="s">
        <v>19</v>
      </c>
      <c r="E401" t="s">
        <v>27</v>
      </c>
      <c r="F401" t="s">
        <v>22</v>
      </c>
      <c r="G401">
        <v>14</v>
      </c>
      <c r="H401">
        <v>2059.15</v>
      </c>
      <c r="I401">
        <v>225.35</v>
      </c>
      <c r="J401">
        <v>210</v>
      </c>
      <c r="K401">
        <v>0.71</v>
      </c>
      <c r="L401">
        <v>0.04</v>
      </c>
      <c r="M40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A34D-8329-F845-B0DC-3C459C2FFB58}">
  <dimension ref="A3:B6"/>
  <sheetViews>
    <sheetView zoomScale="141" zoomScaleNormal="141" workbookViewId="0">
      <selection activeCell="B4" sqref="B4"/>
    </sheetView>
  </sheetViews>
  <sheetFormatPr baseColWidth="10" defaultRowHeight="16" x14ac:dyDescent="0.2"/>
  <cols>
    <col min="1" max="2" width="13" bestFit="1" customWidth="1"/>
  </cols>
  <sheetData>
    <row r="3" spans="1:2" x14ac:dyDescent="0.2">
      <c r="A3" s="1" t="s">
        <v>28</v>
      </c>
      <c r="B3" t="s">
        <v>30</v>
      </c>
    </row>
    <row r="4" spans="1:2" x14ac:dyDescent="0.2">
      <c r="A4" s="2" t="s">
        <v>17</v>
      </c>
      <c r="B4" s="3">
        <v>344377.81000000017</v>
      </c>
    </row>
    <row r="5" spans="1:2" x14ac:dyDescent="0.2">
      <c r="A5" s="2" t="s">
        <v>25</v>
      </c>
      <c r="B5" s="3">
        <v>262823.42</v>
      </c>
    </row>
    <row r="6" spans="1:2" x14ac:dyDescent="0.2">
      <c r="A6" s="2" t="s">
        <v>29</v>
      </c>
      <c r="B6" s="3">
        <v>607201.23000000021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20A3-AA0D-A541-A195-4C409B80BEC0}">
  <dimension ref="A3:B7"/>
  <sheetViews>
    <sheetView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8.33203125" bestFit="1" customWidth="1"/>
  </cols>
  <sheetData>
    <row r="3" spans="1:2" x14ac:dyDescent="0.2">
      <c r="A3" s="1" t="s">
        <v>28</v>
      </c>
      <c r="B3" t="s">
        <v>31</v>
      </c>
    </row>
    <row r="4" spans="1:2" x14ac:dyDescent="0.2">
      <c r="A4" s="2" t="s">
        <v>16</v>
      </c>
      <c r="B4" s="3">
        <v>1472.5915384615384</v>
      </c>
    </row>
    <row r="5" spans="1:2" x14ac:dyDescent="0.2">
      <c r="A5" s="2" t="s">
        <v>22</v>
      </c>
      <c r="B5" s="3">
        <v>1413.1067741935485</v>
      </c>
    </row>
    <row r="6" spans="1:2" x14ac:dyDescent="0.2">
      <c r="A6" s="2" t="s">
        <v>20</v>
      </c>
      <c r="B6" s="3">
        <v>1664.6270676691722</v>
      </c>
    </row>
    <row r="7" spans="1:2" x14ac:dyDescent="0.2">
      <c r="A7" s="2" t="s">
        <v>29</v>
      </c>
      <c r="B7" s="3">
        <v>1518.0030750000003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2B9B-88E2-FA41-8DB8-135CD3BADD59}">
  <dimension ref="A3:B8"/>
  <sheetViews>
    <sheetView workbookViewId="0">
      <selection activeCell="B8" sqref="B8"/>
    </sheetView>
  </sheetViews>
  <sheetFormatPr baseColWidth="10" defaultRowHeight="16" x14ac:dyDescent="0.2"/>
  <cols>
    <col min="1" max="1" width="13" bestFit="1" customWidth="1"/>
    <col min="2" max="2" width="12.5" bestFit="1" customWidth="1"/>
  </cols>
  <sheetData>
    <row r="3" spans="1:2" x14ac:dyDescent="0.2">
      <c r="A3" s="1" t="s">
        <v>28</v>
      </c>
      <c r="B3" t="s">
        <v>30</v>
      </c>
    </row>
    <row r="4" spans="1:2" x14ac:dyDescent="0.2">
      <c r="A4" s="2" t="s">
        <v>15</v>
      </c>
      <c r="B4" s="3">
        <v>157531.17999999993</v>
      </c>
    </row>
    <row r="5" spans="1:2" x14ac:dyDescent="0.2">
      <c r="A5" s="2" t="s">
        <v>21</v>
      </c>
      <c r="B5" s="3">
        <v>148001.59000000003</v>
      </c>
    </row>
    <row r="6" spans="1:2" x14ac:dyDescent="0.2">
      <c r="A6" s="2" t="s">
        <v>24</v>
      </c>
      <c r="B6" s="3">
        <v>153955.11999999997</v>
      </c>
    </row>
    <row r="7" spans="1:2" x14ac:dyDescent="0.2">
      <c r="A7" s="2" t="s">
        <v>27</v>
      </c>
      <c r="B7" s="3">
        <v>147713.33999999997</v>
      </c>
    </row>
    <row r="8" spans="1:2" x14ac:dyDescent="0.2">
      <c r="A8" s="2" t="s">
        <v>29</v>
      </c>
      <c r="B8" s="3">
        <v>607201.22999999986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00D-0DD8-A04E-BA77-B191CDCBC522}">
  <dimension ref="A3:E9"/>
  <sheetViews>
    <sheetView workbookViewId="0">
      <selection activeCell="B5" sqref="B5"/>
    </sheetView>
  </sheetViews>
  <sheetFormatPr baseColWidth="10" defaultRowHeight="16" x14ac:dyDescent="0.2"/>
  <cols>
    <col min="1" max="1" width="18.33203125" bestFit="1" customWidth="1"/>
    <col min="2" max="2" width="16" bestFit="1" customWidth="1"/>
    <col min="3" max="4" width="9.1640625" bestFit="1" customWidth="1"/>
    <col min="5" max="5" width="10.5" bestFit="1" customWidth="1"/>
  </cols>
  <sheetData>
    <row r="3" spans="1:5" x14ac:dyDescent="0.2">
      <c r="A3" s="1" t="s">
        <v>31</v>
      </c>
      <c r="B3" s="1" t="s">
        <v>32</v>
      </c>
    </row>
    <row r="4" spans="1:5" x14ac:dyDescent="0.2">
      <c r="A4" s="1" t="s">
        <v>28</v>
      </c>
      <c r="B4" t="s">
        <v>16</v>
      </c>
      <c r="C4" t="s">
        <v>22</v>
      </c>
      <c r="D4" t="s">
        <v>20</v>
      </c>
      <c r="E4" t="s">
        <v>29</v>
      </c>
    </row>
    <row r="5" spans="1:5" x14ac:dyDescent="0.2">
      <c r="A5" s="2" t="s">
        <v>15</v>
      </c>
      <c r="B5" s="3">
        <v>1681.1248717948713</v>
      </c>
      <c r="C5" s="3">
        <v>1304.151818181818</v>
      </c>
      <c r="D5" s="3">
        <v>1687.2517241379317</v>
      </c>
      <c r="E5" s="3">
        <v>1559.7146534653457</v>
      </c>
    </row>
    <row r="6" spans="1:5" x14ac:dyDescent="0.2">
      <c r="A6" s="2" t="s">
        <v>21</v>
      </c>
      <c r="B6" s="3">
        <v>1512.2360000000001</v>
      </c>
      <c r="C6" s="3">
        <v>1459.9438461538459</v>
      </c>
      <c r="D6" s="3">
        <v>1730.7512121212123</v>
      </c>
      <c r="E6" s="3">
        <v>1574.4849999999999</v>
      </c>
    </row>
    <row r="7" spans="1:5" x14ac:dyDescent="0.2">
      <c r="A7" s="2" t="s">
        <v>24</v>
      </c>
      <c r="B7" s="3">
        <v>1297.65175</v>
      </c>
      <c r="C7" s="3">
        <v>1567.1299999999997</v>
      </c>
      <c r="D7" s="3">
        <v>1572.5888235294115</v>
      </c>
      <c r="E7" s="3">
        <v>1466.2392380952383</v>
      </c>
    </row>
    <row r="8" spans="1:5" x14ac:dyDescent="0.2">
      <c r="A8" s="2" t="s">
        <v>27</v>
      </c>
      <c r="B8" s="3">
        <v>1385.5996551724136</v>
      </c>
      <c r="C8" s="3">
        <v>1342.6076470588234</v>
      </c>
      <c r="D8" s="3">
        <v>1672.4943243243249</v>
      </c>
      <c r="E8" s="3">
        <v>1477.1333999999997</v>
      </c>
    </row>
    <row r="9" spans="1:5" x14ac:dyDescent="0.2">
      <c r="A9" s="2" t="s">
        <v>29</v>
      </c>
      <c r="B9" s="3">
        <v>1472.5915384615389</v>
      </c>
      <c r="C9" s="3">
        <v>1413.1067741935492</v>
      </c>
      <c r="D9" s="3">
        <v>1664.6270676691729</v>
      </c>
      <c r="E9" s="3">
        <v>1518.0030749999996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7C57-B54B-8C4B-AE5B-8D08D2CA9BE2}">
  <dimension ref="A3:B7"/>
  <sheetViews>
    <sheetView workbookViewId="0">
      <selection activeCell="S24" sqref="S24"/>
    </sheetView>
  </sheetViews>
  <sheetFormatPr baseColWidth="10" defaultRowHeight="16" x14ac:dyDescent="0.2"/>
  <cols>
    <col min="1" max="1" width="13" bestFit="1" customWidth="1"/>
    <col min="2" max="2" width="18.5" bestFit="1" customWidth="1"/>
  </cols>
  <sheetData>
    <row r="3" spans="1:2" x14ac:dyDescent="0.2">
      <c r="A3" s="4" t="s">
        <v>28</v>
      </c>
      <c r="B3" s="5" t="s">
        <v>33</v>
      </c>
    </row>
    <row r="4" spans="1:2" x14ac:dyDescent="0.2">
      <c r="A4" s="6" t="s">
        <v>16</v>
      </c>
      <c r="B4" s="7">
        <v>0.44125874125874121</v>
      </c>
    </row>
    <row r="5" spans="1:2" x14ac:dyDescent="0.2">
      <c r="A5" s="6" t="s">
        <v>22</v>
      </c>
      <c r="B5" s="7">
        <v>0.4579032258064516</v>
      </c>
    </row>
    <row r="6" spans="1:2" x14ac:dyDescent="0.2">
      <c r="A6" s="6" t="s">
        <v>20</v>
      </c>
      <c r="B6" s="7">
        <v>0.45518796992481203</v>
      </c>
    </row>
    <row r="7" spans="1:2" x14ac:dyDescent="0.2">
      <c r="A7" s="6" t="s">
        <v>29</v>
      </c>
      <c r="B7" s="7">
        <v>0.45105000000000012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7BFE-8109-454A-85B9-DC41AC284E7C}">
  <dimension ref="A3:C7"/>
  <sheetViews>
    <sheetView workbookViewId="0">
      <selection activeCell="C7" sqref="A3:C7"/>
    </sheetView>
  </sheetViews>
  <sheetFormatPr baseColWidth="10" defaultRowHeight="16" x14ac:dyDescent="0.2"/>
  <cols>
    <col min="1" max="1" width="13" bestFit="1" customWidth="1"/>
    <col min="2" max="2" width="22.33203125" bestFit="1" customWidth="1"/>
    <col min="3" max="3" width="18.33203125" bestFit="1" customWidth="1"/>
  </cols>
  <sheetData>
    <row r="3" spans="1:3" x14ac:dyDescent="0.2">
      <c r="A3" s="1" t="s">
        <v>28</v>
      </c>
      <c r="B3" t="s">
        <v>34</v>
      </c>
      <c r="C3" t="s">
        <v>31</v>
      </c>
    </row>
    <row r="4" spans="1:3" x14ac:dyDescent="0.2">
      <c r="A4" s="2" t="s">
        <v>16</v>
      </c>
      <c r="B4" s="7">
        <v>0.44125874125874121</v>
      </c>
      <c r="C4" s="3">
        <v>1472.5915384615384</v>
      </c>
    </row>
    <row r="5" spans="1:3" x14ac:dyDescent="0.2">
      <c r="A5" s="2" t="s">
        <v>22</v>
      </c>
      <c r="B5" s="7">
        <v>0.4579032258064516</v>
      </c>
      <c r="C5" s="3">
        <v>1413.1067741935485</v>
      </c>
    </row>
    <row r="6" spans="1:3" x14ac:dyDescent="0.2">
      <c r="A6" s="2" t="s">
        <v>20</v>
      </c>
      <c r="B6" s="7">
        <v>0.45518796992481203</v>
      </c>
      <c r="C6" s="3">
        <v>1664.6270676691722</v>
      </c>
    </row>
    <row r="7" spans="1:3" x14ac:dyDescent="0.2">
      <c r="A7" s="2" t="s">
        <v>29</v>
      </c>
      <c r="B7" s="7">
        <v>0.45105000000000012</v>
      </c>
      <c r="C7" s="3">
        <v>1518.0030750000003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79E8-29E9-404C-987D-D23210D9B7C1}">
  <dimension ref="A3:B6"/>
  <sheetViews>
    <sheetView workbookViewId="0">
      <selection activeCell="B6" sqref="A4:B6"/>
    </sheetView>
  </sheetViews>
  <sheetFormatPr baseColWidth="10" defaultRowHeight="16" x14ac:dyDescent="0.2"/>
  <cols>
    <col min="1" max="1" width="13" bestFit="1" customWidth="1"/>
    <col min="2" max="2" width="12.5" bestFit="1" customWidth="1"/>
  </cols>
  <sheetData>
    <row r="3" spans="1:2" x14ac:dyDescent="0.2">
      <c r="A3" s="1" t="s">
        <v>28</v>
      </c>
      <c r="B3" t="s">
        <v>30</v>
      </c>
    </row>
    <row r="4" spans="1:2" x14ac:dyDescent="0.2">
      <c r="A4" s="2" t="s">
        <v>17</v>
      </c>
      <c r="B4" s="3">
        <v>344377.81000000017</v>
      </c>
    </row>
    <row r="5" spans="1:2" x14ac:dyDescent="0.2">
      <c r="A5" s="2" t="s">
        <v>25</v>
      </c>
      <c r="B5" s="3">
        <v>262823.42</v>
      </c>
    </row>
    <row r="6" spans="1:2" x14ac:dyDescent="0.2">
      <c r="A6" s="2" t="s">
        <v>29</v>
      </c>
      <c r="B6" s="3">
        <v>607201.23000000021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698F-6857-C644-BF86-4B5272467DFF}">
  <dimension ref="A3:B7"/>
  <sheetViews>
    <sheetView workbookViewId="0">
      <selection activeCell="B7" sqref="B4:B7"/>
    </sheetView>
  </sheetViews>
  <sheetFormatPr baseColWidth="10" defaultRowHeight="16" x14ac:dyDescent="0.2"/>
  <cols>
    <col min="1" max="1" width="13" bestFit="1" customWidth="1"/>
    <col min="2" max="2" width="18.33203125" bestFit="1" customWidth="1"/>
  </cols>
  <sheetData>
    <row r="3" spans="1:2" x14ac:dyDescent="0.2">
      <c r="A3" s="1" t="s">
        <v>28</v>
      </c>
      <c r="B3" t="s">
        <v>31</v>
      </c>
    </row>
    <row r="4" spans="1:2" x14ac:dyDescent="0.2">
      <c r="A4" s="2" t="s">
        <v>16</v>
      </c>
      <c r="B4" s="3">
        <v>1472.5915384615384</v>
      </c>
    </row>
    <row r="5" spans="1:2" x14ac:dyDescent="0.2">
      <c r="A5" s="2" t="s">
        <v>22</v>
      </c>
      <c r="B5" s="3">
        <v>1413.1067741935485</v>
      </c>
    </row>
    <row r="6" spans="1:2" x14ac:dyDescent="0.2">
      <c r="A6" s="2" t="s">
        <v>20</v>
      </c>
      <c r="B6" s="3">
        <v>1664.6270676691722</v>
      </c>
    </row>
    <row r="7" spans="1:2" x14ac:dyDescent="0.2">
      <c r="A7" s="2" t="s">
        <v>29</v>
      </c>
      <c r="B7" s="3">
        <v>1518.0030750000003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698A-64E6-4448-B4AB-98CD6F9DEE12}">
  <dimension ref="A3:B8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2.5" bestFit="1" customWidth="1"/>
  </cols>
  <sheetData>
    <row r="3" spans="1:2" x14ac:dyDescent="0.2">
      <c r="A3" s="1" t="s">
        <v>28</v>
      </c>
      <c r="B3" t="s">
        <v>30</v>
      </c>
    </row>
    <row r="4" spans="1:2" x14ac:dyDescent="0.2">
      <c r="A4" s="2" t="s">
        <v>15</v>
      </c>
      <c r="B4" s="3">
        <v>157531.17999999993</v>
      </c>
    </row>
    <row r="5" spans="1:2" x14ac:dyDescent="0.2">
      <c r="A5" s="2" t="s">
        <v>21</v>
      </c>
      <c r="B5" s="3">
        <v>148001.59000000003</v>
      </c>
    </row>
    <row r="6" spans="1:2" x14ac:dyDescent="0.2">
      <c r="A6" s="2" t="s">
        <v>24</v>
      </c>
      <c r="B6" s="3">
        <v>153955.11999999997</v>
      </c>
    </row>
    <row r="7" spans="1:2" x14ac:dyDescent="0.2">
      <c r="A7" s="2" t="s">
        <v>27</v>
      </c>
      <c r="B7" s="3">
        <v>147713.33999999997</v>
      </c>
    </row>
    <row r="8" spans="1:2" x14ac:dyDescent="0.2">
      <c r="A8" s="2" t="s">
        <v>29</v>
      </c>
      <c r="B8" s="3">
        <v>607201.22999999986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2880-ED13-6F40-8660-0FC099BFE64D}">
  <dimension ref="A3:E9"/>
  <sheetViews>
    <sheetView workbookViewId="0">
      <selection activeCell="E9" sqref="B5:E9"/>
    </sheetView>
  </sheetViews>
  <sheetFormatPr baseColWidth="10" defaultRowHeight="16" x14ac:dyDescent="0.2"/>
  <cols>
    <col min="1" max="1" width="18.33203125" bestFit="1" customWidth="1"/>
    <col min="2" max="2" width="16" bestFit="1" customWidth="1"/>
    <col min="3" max="4" width="9.1640625" bestFit="1" customWidth="1"/>
    <col min="5" max="5" width="10.5" bestFit="1" customWidth="1"/>
  </cols>
  <sheetData>
    <row r="3" spans="1:5" x14ac:dyDescent="0.2">
      <c r="A3" s="1" t="s">
        <v>31</v>
      </c>
      <c r="B3" s="1" t="s">
        <v>32</v>
      </c>
    </row>
    <row r="4" spans="1:5" x14ac:dyDescent="0.2">
      <c r="A4" s="1" t="s">
        <v>28</v>
      </c>
      <c r="B4" t="s">
        <v>16</v>
      </c>
      <c r="C4" t="s">
        <v>22</v>
      </c>
      <c r="D4" t="s">
        <v>20</v>
      </c>
      <c r="E4" t="s">
        <v>29</v>
      </c>
    </row>
    <row r="5" spans="1:5" x14ac:dyDescent="0.2">
      <c r="A5" s="2" t="s">
        <v>15</v>
      </c>
      <c r="B5" s="3">
        <v>1681.1248717948713</v>
      </c>
      <c r="C5" s="3">
        <v>1304.151818181818</v>
      </c>
      <c r="D5" s="3">
        <v>1687.2517241379317</v>
      </c>
      <c r="E5" s="3">
        <v>1559.7146534653457</v>
      </c>
    </row>
    <row r="6" spans="1:5" x14ac:dyDescent="0.2">
      <c r="A6" s="2" t="s">
        <v>21</v>
      </c>
      <c r="B6" s="3">
        <v>1512.2360000000001</v>
      </c>
      <c r="C6" s="3">
        <v>1459.9438461538459</v>
      </c>
      <c r="D6" s="3">
        <v>1730.7512121212123</v>
      </c>
      <c r="E6" s="3">
        <v>1574.4849999999999</v>
      </c>
    </row>
    <row r="7" spans="1:5" x14ac:dyDescent="0.2">
      <c r="A7" s="2" t="s">
        <v>24</v>
      </c>
      <c r="B7" s="3">
        <v>1297.65175</v>
      </c>
      <c r="C7" s="3">
        <v>1567.1299999999997</v>
      </c>
      <c r="D7" s="3">
        <v>1572.5888235294115</v>
      </c>
      <c r="E7" s="3">
        <v>1466.2392380952383</v>
      </c>
    </row>
    <row r="8" spans="1:5" x14ac:dyDescent="0.2">
      <c r="A8" s="2" t="s">
        <v>27</v>
      </c>
      <c r="B8" s="3">
        <v>1385.5996551724136</v>
      </c>
      <c r="C8" s="3">
        <v>1342.6076470588234</v>
      </c>
      <c r="D8" s="3">
        <v>1672.4943243243249</v>
      </c>
      <c r="E8" s="3">
        <v>1477.1333999999997</v>
      </c>
    </row>
    <row r="9" spans="1:5" x14ac:dyDescent="0.2">
      <c r="A9" s="2" t="s">
        <v>29</v>
      </c>
      <c r="B9" s="3">
        <v>1472.5915384615389</v>
      </c>
      <c r="C9" s="3">
        <v>1413.1067741935492</v>
      </c>
      <c r="D9" s="3">
        <v>1664.6270676691729</v>
      </c>
      <c r="E9" s="3">
        <v>1518.0030749999996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Sheet</vt:lpstr>
      <vt:lpstr>fashion_retail_customers</vt:lpstr>
      <vt:lpstr>Membership Analysis</vt:lpstr>
      <vt:lpstr>Customer Frequency Analysis</vt:lpstr>
      <vt:lpstr>Category Performance</vt:lpstr>
      <vt:lpstr>Category Behavior Analysis</vt:lpstr>
      <vt:lpstr>Discount Behavior</vt:lpstr>
      <vt:lpstr>Discount Impact Analysis</vt:lpstr>
      <vt:lpstr>Revenue by Membership</vt:lpstr>
      <vt:lpstr>Spend by Purchase Frequency</vt:lpstr>
      <vt:lpstr>Revenue by Category</vt:lpstr>
      <vt:lpstr>Customer Spend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persaud</dc:creator>
  <cp:lastModifiedBy>tiffany persaud</cp:lastModifiedBy>
  <dcterms:created xsi:type="dcterms:W3CDTF">2026-02-21T18:56:07Z</dcterms:created>
  <dcterms:modified xsi:type="dcterms:W3CDTF">2026-02-21T21:49:55Z</dcterms:modified>
</cp:coreProperties>
</file>